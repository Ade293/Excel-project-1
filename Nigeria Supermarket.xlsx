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AF0635EB-FBBE-4A1B-918F-04923A3A5193}" xr6:coauthVersionLast="47" xr6:coauthVersionMax="47" xr10:uidLastSave="{00000000-0000-0000-0000-000000000000}"/>
  <bookViews>
    <workbookView xWindow="-120" yWindow="-120" windowWidth="20730" windowHeight="11760" firstSheet="1" activeTab="4" xr2:uid="{24A0CA24-D092-49B8-96BE-A9A6BBC75227}"/>
  </bookViews>
  <sheets>
    <sheet name="Sheet3" sheetId="3" r:id="rId1"/>
    <sheet name="Sheet4" sheetId="4" r:id="rId2"/>
    <sheet name="Sheet5" sheetId="5" r:id="rId3"/>
    <sheet name="Sheet7" sheetId="7" r:id="rId4"/>
    <sheet name="Dashboard" sheetId="8" r:id="rId5"/>
    <sheet name="Sheet1" sheetId="1" r:id="rId6"/>
    <sheet name="Sheet6" sheetId="6" r:id="rId7"/>
  </sheets>
  <definedNames>
    <definedName name="Slicer_Paymet_Method">#N/A</definedName>
    <definedName name="Slicer_State">#N/A</definedName>
  </definedNames>
  <calcPr calcId="191029"/>
  <pivotCaches>
    <pivotCache cacheId="1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 r="J5" i="1"/>
  <c r="J25" i="1"/>
  <c r="J3" i="1"/>
  <c r="J6" i="1"/>
  <c r="J8" i="1"/>
  <c r="J10" i="1"/>
  <c r="J12" i="1"/>
  <c r="J14" i="1"/>
  <c r="J16" i="1"/>
  <c r="J18" i="1"/>
  <c r="J20" i="1"/>
  <c r="J22" i="1"/>
  <c r="J24" i="1"/>
  <c r="J2" i="1"/>
  <c r="H3" i="1"/>
  <c r="H4" i="1"/>
  <c r="J4" i="1" s="1"/>
  <c r="H6" i="1"/>
  <c r="H7" i="1"/>
  <c r="J7" i="1" s="1"/>
  <c r="H8" i="1"/>
  <c r="H9" i="1"/>
  <c r="J9" i="1" s="1"/>
  <c r="H10" i="1"/>
  <c r="H11" i="1"/>
  <c r="J11" i="1" s="1"/>
  <c r="H12" i="1"/>
  <c r="H13" i="1"/>
  <c r="J13" i="1" s="1"/>
  <c r="H14" i="1"/>
  <c r="H15" i="1"/>
  <c r="J15" i="1" s="1"/>
  <c r="H16" i="1"/>
  <c r="H17" i="1"/>
  <c r="J17" i="1" s="1"/>
  <c r="H18" i="1"/>
  <c r="H19" i="1"/>
  <c r="J19" i="1" s="1"/>
  <c r="H20" i="1"/>
  <c r="H21" i="1"/>
  <c r="J21" i="1" s="1"/>
  <c r="H22" i="1"/>
  <c r="H23" i="1"/>
  <c r="J23" i="1" s="1"/>
  <c r="H24" i="1"/>
  <c r="H26" i="1"/>
  <c r="J26" i="1" s="1"/>
  <c r="H2" i="1"/>
</calcChain>
</file>

<file path=xl/sharedStrings.xml><?xml version="1.0" encoding="utf-8"?>
<sst xmlns="http://schemas.openxmlformats.org/spreadsheetml/2006/main" count="210" uniqueCount="75">
  <si>
    <t>Order ID</t>
  </si>
  <si>
    <t>Order Date</t>
  </si>
  <si>
    <t>Product Name</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</si>
  <si>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</si>
  <si>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</si>
  <si>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</si>
  <si>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</si>
  <si>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</si>
  <si>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</si>
  <si>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</si>
  <si>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</si>
  <si>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</si>
  <si>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</si>
  <si>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</si>
  <si>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</si>
  <si>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</si>
  <si>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</si>
  <si>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</si>
  <si>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</si>
  <si>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</si>
  <si>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</si>
  <si>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</si>
  <si>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</si>
  <si>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</si>
  <si>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</si>
  <si>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</si>
  <si>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</si>
  <si>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</si>
  <si>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Rice</t>
  </si>
  <si>
    <t>Coca-cola</t>
  </si>
  <si>
    <t>Indomie</t>
  </si>
  <si>
    <t>Detergent</t>
  </si>
  <si>
    <t>Milk</t>
  </si>
  <si>
    <t>Bread</t>
  </si>
  <si>
    <t>Beans</t>
  </si>
  <si>
    <t>Yam</t>
  </si>
  <si>
    <t>Food</t>
  </si>
  <si>
    <t>Beverages</t>
  </si>
  <si>
    <t>Household</t>
  </si>
  <si>
    <t>Potato</t>
  </si>
  <si>
    <t>Sponge</t>
  </si>
  <si>
    <t>Category</t>
  </si>
  <si>
    <t>Lagos</t>
  </si>
  <si>
    <t>Ogun</t>
  </si>
  <si>
    <t>Ibadan</t>
  </si>
  <si>
    <t>Abuja</t>
  </si>
  <si>
    <t>Ikeja</t>
  </si>
  <si>
    <t>Oyo</t>
  </si>
  <si>
    <t>Rivers</t>
  </si>
  <si>
    <t>State</t>
  </si>
  <si>
    <t>Quantity</t>
  </si>
  <si>
    <t>Unit Priice</t>
  </si>
  <si>
    <t>Sales</t>
  </si>
  <si>
    <t>Cost</t>
  </si>
  <si>
    <t>Profit</t>
  </si>
  <si>
    <t>Paymet Method</t>
  </si>
  <si>
    <t>Customer Type</t>
  </si>
  <si>
    <t>Transfer</t>
  </si>
  <si>
    <t>New</t>
  </si>
  <si>
    <t>Returning</t>
  </si>
  <si>
    <t>Cash</t>
  </si>
  <si>
    <t>POS</t>
  </si>
  <si>
    <t>Row Labels</t>
  </si>
  <si>
    <t>Grand Total</t>
  </si>
  <si>
    <t>Sum of Sales</t>
  </si>
  <si>
    <t>Jan</t>
  </si>
  <si>
    <t>Feb</t>
  </si>
  <si>
    <t>Total Sales</t>
  </si>
  <si>
    <t>Total profit</t>
  </si>
  <si>
    <t>NIGERIA SUPERMARKET SALESS DASHBOARD</t>
  </si>
  <si>
    <t xml:space="preserve">        </t>
  </si>
  <si>
    <t xml:space="preserve">     </t>
  </si>
  <si>
    <t xml:space="preserve">                    Total Profit</t>
  </si>
  <si>
    <t xml:space="preserve">Total Profit  </t>
  </si>
  <si>
    <r>
      <t xml:space="preserve">       </t>
    </r>
    <r>
      <rPr>
        <sz val="18"/>
        <color rgb="FFFFFF99"/>
        <rFont val="Algerian"/>
        <family val="5"/>
      </rPr>
      <t>TOTAL ORDER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</si>
</sst>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sz val="8"/>
      <name val="Calibri"/>
      <family val="2"/>
      <scheme val="minor"/>
    </font>
    <font>
      <sz val="16"/>
      <color theme="1"/>
      <name val="Algerian"/>
      <family val="5"/>
    </font>
    <font>
      <sz val="16"/>
      <color theme="9" tint="-0.249977111117893"/>
      <name val="Algerian"/>
      <family val="5"/>
    </font>
    <font>
      <sz val="11"/>
      <color theme="9" tint="-0.249977111117893"/>
      <name val="Calibri"/>
      <family val="2"/>
      <scheme val="minor"/>
    </font>
    <font>
      <sz val="11"/>
      <color rgb="FFFFFF99"/>
      <name val="Calibri"/>
      <family val="2"/>
      <scheme val="minor"/>
    </font>
    <font>
      <sz val="36"/>
      <color theme="9" tint="-0.249977111117893"/>
      <name val="Algerian"/>
      <family val="5"/>
    </font>
    <font>
      <sz val="16"/>
      <color rgb="FFFFFF99"/>
      <name val="Algerian"/>
      <family val="5"/>
    </font>
    <font>
      <sz val="18"/>
      <color rgb="FFFFFF99"/>
      <name val="Algerian"/>
      <family val="5"/>
    </font>
    <font>
      <sz val="11"/>
      <color theme="7" tint="0.39997558519241921"/>
      <name val="Calibri"/>
      <family val="2"/>
      <scheme val="minor"/>
    </font>
    <font>
      <sz val="16"/>
      <color theme="7" tint="0.39997558519241921"/>
      <name val="Algerian"/>
      <family val="5"/>
    </font>
    <font>
      <sz val="20"/>
      <color theme="7" tint="0.39997558519241921"/>
      <name val="Algerian"/>
      <family val="5"/>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rgb="FFFFFF99"/>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3" fontId="3" fillId="2" borderId="0" xfId="0" applyNumberFormat="1" applyFont="1" applyFill="1"/>
    <xf numFmtId="0" fontId="3" fillId="2" borderId="0" xfId="0" applyFont="1" applyFill="1"/>
    <xf numFmtId="0" fontId="0" fillId="3" borderId="0" xfId="0" applyFill="1"/>
    <xf numFmtId="0" fontId="4" fillId="2" borderId="0" xfId="0" applyFont="1" applyFill="1"/>
    <xf numFmtId="0" fontId="1" fillId="2" borderId="0" xfId="0" applyFont="1" applyFill="1"/>
    <xf numFmtId="0" fontId="5" fillId="2" borderId="0" xfId="0" applyFont="1" applyFill="1"/>
    <xf numFmtId="0" fontId="6" fillId="2" borderId="0" xfId="0" applyFont="1" applyFill="1"/>
    <xf numFmtId="0" fontId="0" fillId="4" borderId="0" xfId="0" applyFill="1"/>
    <xf numFmtId="0" fontId="7" fillId="4" borderId="0" xfId="0" applyFont="1" applyFill="1"/>
    <xf numFmtId="0" fontId="5" fillId="4" borderId="0" xfId="0" applyFont="1" applyFill="1"/>
    <xf numFmtId="3" fontId="8" fillId="2" borderId="0" xfId="0" applyNumberFormat="1" applyFont="1" applyFill="1"/>
    <xf numFmtId="0" fontId="8" fillId="2" borderId="0" xfId="0" applyFont="1" applyFill="1"/>
    <xf numFmtId="0" fontId="10" fillId="2" borderId="0" xfId="0" applyFont="1" applyFill="1"/>
    <xf numFmtId="0" fontId="12" fillId="2" borderId="0" xfId="0" applyFont="1" applyFill="1"/>
    <xf numFmtId="3" fontId="11" fillId="2" borderId="0" xfId="0" applyNumberFormat="1" applyFont="1" applyFill="1"/>
  </cellXfs>
  <cellStyles count="1">
    <cellStyle name="Normal" xfId="0" builtinId="0"/>
  </cellStyles>
  <dxfs count="1">
    <dxf>
      <numFmt numFmtId="19" formatCode="dd/mm/yyyy"/>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Supermarket.xlsx]Sheet4!PivotTable3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State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Abuja</c:v>
                </c:pt>
                <c:pt idx="1">
                  <c:v>Ibadan</c:v>
                </c:pt>
                <c:pt idx="2">
                  <c:v>Ikeja</c:v>
                </c:pt>
                <c:pt idx="3">
                  <c:v>Lagos</c:v>
                </c:pt>
                <c:pt idx="4">
                  <c:v>Ogun</c:v>
                </c:pt>
                <c:pt idx="5">
                  <c:v>Oyo</c:v>
                </c:pt>
                <c:pt idx="6">
                  <c:v>Rivers</c:v>
                </c:pt>
              </c:strCache>
            </c:strRef>
          </c:cat>
          <c:val>
            <c:numRef>
              <c:f>Sheet4!$B$4:$B$11</c:f>
              <c:numCache>
                <c:formatCode>General</c:formatCode>
                <c:ptCount val="7"/>
                <c:pt idx="0">
                  <c:v>14420</c:v>
                </c:pt>
                <c:pt idx="1">
                  <c:v>20000</c:v>
                </c:pt>
                <c:pt idx="2">
                  <c:v>19800</c:v>
                </c:pt>
                <c:pt idx="3">
                  <c:v>123990</c:v>
                </c:pt>
                <c:pt idx="4">
                  <c:v>61700</c:v>
                </c:pt>
                <c:pt idx="5">
                  <c:v>37500</c:v>
                </c:pt>
                <c:pt idx="6">
                  <c:v>21300</c:v>
                </c:pt>
              </c:numCache>
            </c:numRef>
          </c:val>
          <c:extLst>
            <c:ext xmlns:c16="http://schemas.microsoft.com/office/drawing/2014/chart" uri="{C3380CC4-5D6E-409C-BE32-E72D297353CC}">
              <c16:uniqueId val="{00000000-017C-467D-BF02-543F32ECEC6B}"/>
            </c:ext>
          </c:extLst>
        </c:ser>
        <c:dLbls>
          <c:showLegendKey val="0"/>
          <c:showVal val="0"/>
          <c:showCatName val="0"/>
          <c:showSerName val="0"/>
          <c:showPercent val="0"/>
          <c:showBubbleSize val="0"/>
        </c:dLbls>
        <c:gapWidth val="219"/>
        <c:overlap val="-27"/>
        <c:axId val="1131995424"/>
        <c:axId val="1131995840"/>
      </c:barChart>
      <c:catAx>
        <c:axId val="11319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5840"/>
        <c:crosses val="autoZero"/>
        <c:auto val="1"/>
        <c:lblAlgn val="ctr"/>
        <c:lblOffset val="100"/>
        <c:noMultiLvlLbl val="0"/>
      </c:catAx>
      <c:valAx>
        <c:axId val="113199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Supermarket.xlsx]Sheet5!PivotTable4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Sheet5!$B$3</c:f>
              <c:strCache>
                <c:ptCount val="1"/>
                <c:pt idx="0">
                  <c:v>Total</c:v>
                </c:pt>
              </c:strCache>
            </c:strRef>
          </c:tx>
          <c:spPr>
            <a:solidFill>
              <a:schemeClr val="accent1"/>
            </a:solidFill>
            <a:ln>
              <a:noFill/>
            </a:ln>
            <a:effectLst/>
          </c:spPr>
          <c:invertIfNegative val="0"/>
          <c:cat>
            <c:strRef>
              <c:f>Sheet5!$A$4:$A$6</c:f>
              <c:strCache>
                <c:ptCount val="2"/>
                <c:pt idx="0">
                  <c:v>Jan</c:v>
                </c:pt>
                <c:pt idx="1">
                  <c:v>Feb</c:v>
                </c:pt>
              </c:strCache>
            </c:strRef>
          </c:cat>
          <c:val>
            <c:numRef>
              <c:f>Sheet5!$B$4:$B$6</c:f>
              <c:numCache>
                <c:formatCode>General</c:formatCode>
                <c:ptCount val="2"/>
                <c:pt idx="0">
                  <c:v>262820</c:v>
                </c:pt>
                <c:pt idx="1">
                  <c:v>35890</c:v>
                </c:pt>
              </c:numCache>
            </c:numRef>
          </c:val>
          <c:extLst>
            <c:ext xmlns:c16="http://schemas.microsoft.com/office/drawing/2014/chart" uri="{C3380CC4-5D6E-409C-BE32-E72D297353CC}">
              <c16:uniqueId val="{00000000-3F9C-4E4B-940F-B59D15B32106}"/>
            </c:ext>
          </c:extLst>
        </c:ser>
        <c:dLbls>
          <c:showLegendKey val="0"/>
          <c:showVal val="0"/>
          <c:showCatName val="0"/>
          <c:showSerName val="0"/>
          <c:showPercent val="0"/>
          <c:showBubbleSize val="0"/>
        </c:dLbls>
        <c:gapWidth val="150"/>
        <c:overlap val="100"/>
        <c:axId val="1125599424"/>
        <c:axId val="1125600256"/>
      </c:barChart>
      <c:catAx>
        <c:axId val="112559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600256"/>
        <c:crosses val="autoZero"/>
        <c:auto val="1"/>
        <c:lblAlgn val="ctr"/>
        <c:lblOffset val="100"/>
        <c:noMultiLvlLbl val="0"/>
      </c:catAx>
      <c:valAx>
        <c:axId val="112560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9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Supermarket.xlsx]Sheet7!PivotTable6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a:t>
            </a:r>
            <a:r>
              <a:rPr lang="en-GB" baseline="0"/>
              <a:t> by Payment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Sheet7!$A$4:$A$7</c:f>
              <c:strCache>
                <c:ptCount val="3"/>
                <c:pt idx="0">
                  <c:v>Cash</c:v>
                </c:pt>
                <c:pt idx="1">
                  <c:v>POS</c:v>
                </c:pt>
                <c:pt idx="2">
                  <c:v>Transfer</c:v>
                </c:pt>
              </c:strCache>
            </c:strRef>
          </c:cat>
          <c:val>
            <c:numRef>
              <c:f>Sheet7!$B$4:$B$7</c:f>
              <c:numCache>
                <c:formatCode>General</c:formatCode>
                <c:ptCount val="3"/>
                <c:pt idx="0">
                  <c:v>119500</c:v>
                </c:pt>
                <c:pt idx="1">
                  <c:v>25500</c:v>
                </c:pt>
                <c:pt idx="2">
                  <c:v>153710</c:v>
                </c:pt>
              </c:numCache>
            </c:numRef>
          </c:val>
          <c:extLst>
            <c:ext xmlns:c16="http://schemas.microsoft.com/office/drawing/2014/chart" uri="{C3380CC4-5D6E-409C-BE32-E72D297353CC}">
              <c16:uniqueId val="{00000000-858B-4DBA-8006-B342A7F2125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Supermarket.xlsx]Sheet7!PivotTable6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solidFill>
                  <a:schemeClr val="accent6">
                    <a:lumMod val="50000"/>
                  </a:schemeClr>
                </a:solidFill>
              </a:rPr>
              <a:t>Sales by Payment</a:t>
            </a:r>
            <a:endParaRPr lang="en-GB">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99"/>
          </a:solidFill>
          <a:ln w="25400">
            <a:solidFill>
              <a:schemeClr val="lt1"/>
            </a:solidFill>
          </a:ln>
          <a:effectLst/>
          <a:sp3d contourW="25400">
            <a:contourClr>
              <a:schemeClr val="lt1"/>
            </a:contourClr>
          </a:sp3d>
        </c:spPr>
      </c:pivotFmt>
      <c:pivotFmt>
        <c:idx val="7"/>
        <c:spPr>
          <a:solidFill>
            <a:schemeClr val="accent4">
              <a:lumMod val="75000"/>
            </a:schemeClr>
          </a:solidFill>
          <a:ln w="25400">
            <a:solidFill>
              <a:schemeClr val="lt1"/>
            </a:solidFill>
          </a:ln>
          <a:effectLst/>
          <a:sp3d contourW="25400">
            <a:contourClr>
              <a:schemeClr val="lt1"/>
            </a:contourClr>
          </a:sp3d>
        </c:spPr>
      </c:pivotFmt>
      <c:pivotFmt>
        <c:idx val="8"/>
        <c:spPr>
          <a:solidFill>
            <a:schemeClr val="accent6">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4242424242424242E-2"/>
          <c:y val="0.2997076551201851"/>
          <c:w val="0.75393939393939391"/>
          <c:h val="0.6423213303870613"/>
        </c:manualLayout>
      </c:layout>
      <c:pie3DChart>
        <c:varyColors val="1"/>
        <c:ser>
          <c:idx val="0"/>
          <c:order val="0"/>
          <c:tx>
            <c:strRef>
              <c:f>Sheet7!$B$3</c:f>
              <c:strCache>
                <c:ptCount val="1"/>
                <c:pt idx="0">
                  <c:v>Total</c:v>
                </c:pt>
              </c:strCache>
            </c:strRef>
          </c:tx>
          <c:dPt>
            <c:idx val="0"/>
            <c:bubble3D val="0"/>
            <c:spPr>
              <a:solidFill>
                <a:srgbClr val="FFFF99"/>
              </a:solidFill>
              <a:ln w="25400">
                <a:solidFill>
                  <a:schemeClr val="lt1"/>
                </a:solidFill>
              </a:ln>
              <a:effectLst/>
              <a:sp3d contourW="25400">
                <a:contourClr>
                  <a:schemeClr val="lt1"/>
                </a:contourClr>
              </a:sp3d>
            </c:spPr>
            <c:extLst>
              <c:ext xmlns:c16="http://schemas.microsoft.com/office/drawing/2014/chart" uri="{C3380CC4-5D6E-409C-BE32-E72D297353CC}">
                <c16:uniqueId val="{00000001-4D6D-407D-92B0-F56746F5B7EC}"/>
              </c:ext>
            </c:extLst>
          </c:dPt>
          <c:dPt>
            <c:idx val="1"/>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D6D-407D-92B0-F56746F5B7EC}"/>
              </c:ext>
            </c:extLst>
          </c:dPt>
          <c:dPt>
            <c:idx val="2"/>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4D6D-407D-92B0-F56746F5B7EC}"/>
              </c:ext>
            </c:extLst>
          </c:dPt>
          <c:cat>
            <c:strRef>
              <c:f>Sheet7!$A$4:$A$7</c:f>
              <c:strCache>
                <c:ptCount val="3"/>
                <c:pt idx="0">
                  <c:v>Cash</c:v>
                </c:pt>
                <c:pt idx="1">
                  <c:v>POS</c:v>
                </c:pt>
                <c:pt idx="2">
                  <c:v>Transfer</c:v>
                </c:pt>
              </c:strCache>
            </c:strRef>
          </c:cat>
          <c:val>
            <c:numRef>
              <c:f>Sheet7!$B$4:$B$7</c:f>
              <c:numCache>
                <c:formatCode>General</c:formatCode>
                <c:ptCount val="3"/>
                <c:pt idx="0">
                  <c:v>119500</c:v>
                </c:pt>
                <c:pt idx="1">
                  <c:v>25500</c:v>
                </c:pt>
                <c:pt idx="2">
                  <c:v>153710</c:v>
                </c:pt>
              </c:numCache>
            </c:numRef>
          </c:val>
          <c:extLst>
            <c:ext xmlns:c16="http://schemas.microsoft.com/office/drawing/2014/chart" uri="{C3380CC4-5D6E-409C-BE32-E72D297353CC}">
              <c16:uniqueId val="{00000006-4D6D-407D-92B0-F56746F5B7E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[Nigeria Supermarket.xlsx]Sheet5!PivotTable4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Monthly</a:t>
            </a:r>
            <a:r>
              <a:rPr lang="en-US" baseline="0">
                <a:solidFill>
                  <a:schemeClr val="accent6">
                    <a:lumMod val="50000"/>
                  </a:schemeClr>
                </a:solidFill>
              </a:rPr>
              <a:t> Sales Performance</a:t>
            </a:r>
            <a:endParaRPr lang="en-US">
              <a:solidFill>
                <a:schemeClr val="accent6">
                  <a:lumMod val="50000"/>
                </a:schemeClr>
              </a:solidFill>
            </a:endParaRPr>
          </a:p>
        </c:rich>
      </c:tx>
      <c:layout>
        <c:manualLayout>
          <c:xMode val="edge"/>
          <c:yMode val="edge"/>
          <c:x val="0.29758486800720163"/>
          <c:y val="0.1541376834622129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solidFill>
              <a:schemeClr val="accent6"/>
            </a:solidFill>
            <a:ln>
              <a:noFill/>
            </a:ln>
            <a:effectLst/>
            <a:sp3d/>
          </c:spPr>
          <c:invertIfNegative val="0"/>
          <c:cat>
            <c:strRef>
              <c:f>Sheet5!$A$4:$A$6</c:f>
              <c:strCache>
                <c:ptCount val="2"/>
                <c:pt idx="0">
                  <c:v>Jan</c:v>
                </c:pt>
                <c:pt idx="1">
                  <c:v>Feb</c:v>
                </c:pt>
              </c:strCache>
            </c:strRef>
          </c:cat>
          <c:val>
            <c:numRef>
              <c:f>Sheet5!$B$4:$B$6</c:f>
              <c:numCache>
                <c:formatCode>General</c:formatCode>
                <c:ptCount val="2"/>
                <c:pt idx="0">
                  <c:v>262820</c:v>
                </c:pt>
                <c:pt idx="1">
                  <c:v>35890</c:v>
                </c:pt>
              </c:numCache>
            </c:numRef>
          </c:val>
          <c:extLst>
            <c:ext xmlns:c16="http://schemas.microsoft.com/office/drawing/2014/chart" uri="{C3380CC4-5D6E-409C-BE32-E72D297353CC}">
              <c16:uniqueId val="{00000000-E8FE-4BC7-BCDA-9789C472EB9B}"/>
            </c:ext>
          </c:extLst>
        </c:ser>
        <c:dLbls>
          <c:showLegendKey val="0"/>
          <c:showVal val="0"/>
          <c:showCatName val="0"/>
          <c:showSerName val="0"/>
          <c:showPercent val="0"/>
          <c:showBubbleSize val="0"/>
        </c:dLbls>
        <c:gapWidth val="150"/>
        <c:shape val="box"/>
        <c:axId val="1125599424"/>
        <c:axId val="1125600256"/>
        <c:axId val="0"/>
      </c:bar3DChart>
      <c:catAx>
        <c:axId val="112559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600256"/>
        <c:crosses val="autoZero"/>
        <c:auto val="1"/>
        <c:lblAlgn val="ctr"/>
        <c:lblOffset val="100"/>
        <c:noMultiLvlLbl val="0"/>
      </c:catAx>
      <c:valAx>
        <c:axId val="1125600256"/>
        <c:scaling>
          <c:orientation val="minMax"/>
        </c:scaling>
        <c:delete val="0"/>
        <c:axPos val="b"/>
        <c:majorGridlines>
          <c:spPr>
            <a:ln w="9525" cap="flat" cmpd="sng" algn="ctr">
              <a:solidFill>
                <a:schemeClr val="accent6">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59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Supermarket.xlsx]Sheet4!PivotTable3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6">
                    <a:lumMod val="50000"/>
                  </a:schemeClr>
                </a:solidFill>
              </a:rPr>
              <a:t>Sales</a:t>
            </a:r>
            <a:r>
              <a:rPr lang="en-GB" baseline="0">
                <a:solidFill>
                  <a:schemeClr val="accent6">
                    <a:lumMod val="50000"/>
                  </a:schemeClr>
                </a:solidFill>
              </a:rPr>
              <a:t> by State</a:t>
            </a:r>
            <a:endParaRPr lang="en-GB">
              <a:solidFill>
                <a:schemeClr val="accent6">
                  <a:lumMod val="50000"/>
                </a:schemeClr>
              </a:solidFill>
            </a:endParaRPr>
          </a:p>
        </c:rich>
      </c:tx>
      <c:layout>
        <c:manualLayout>
          <c:xMode val="edge"/>
          <c:yMode val="edge"/>
          <c:x val="0.38739247311827962"/>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6">
                <a:lumMod val="75000"/>
              </a:schemeClr>
            </a:solidFill>
            <a:ln>
              <a:noFill/>
            </a:ln>
            <a:effectLst/>
          </c:spPr>
          <c:invertIfNegative val="0"/>
          <c:cat>
            <c:strRef>
              <c:f>Sheet4!$A$4:$A$11</c:f>
              <c:strCache>
                <c:ptCount val="7"/>
                <c:pt idx="0">
                  <c:v>Abuja</c:v>
                </c:pt>
                <c:pt idx="1">
                  <c:v>Ibadan</c:v>
                </c:pt>
                <c:pt idx="2">
                  <c:v>Ikeja</c:v>
                </c:pt>
                <c:pt idx="3">
                  <c:v>Lagos</c:v>
                </c:pt>
                <c:pt idx="4">
                  <c:v>Ogun</c:v>
                </c:pt>
                <c:pt idx="5">
                  <c:v>Oyo</c:v>
                </c:pt>
                <c:pt idx="6">
                  <c:v>Rivers</c:v>
                </c:pt>
              </c:strCache>
            </c:strRef>
          </c:cat>
          <c:val>
            <c:numRef>
              <c:f>Sheet4!$B$4:$B$11</c:f>
              <c:numCache>
                <c:formatCode>General</c:formatCode>
                <c:ptCount val="7"/>
                <c:pt idx="0">
                  <c:v>14420</c:v>
                </c:pt>
                <c:pt idx="1">
                  <c:v>20000</c:v>
                </c:pt>
                <c:pt idx="2">
                  <c:v>19800</c:v>
                </c:pt>
                <c:pt idx="3">
                  <c:v>123990</c:v>
                </c:pt>
                <c:pt idx="4">
                  <c:v>61700</c:v>
                </c:pt>
                <c:pt idx="5">
                  <c:v>37500</c:v>
                </c:pt>
                <c:pt idx="6">
                  <c:v>21300</c:v>
                </c:pt>
              </c:numCache>
            </c:numRef>
          </c:val>
          <c:extLst>
            <c:ext xmlns:c16="http://schemas.microsoft.com/office/drawing/2014/chart" uri="{C3380CC4-5D6E-409C-BE32-E72D297353CC}">
              <c16:uniqueId val="{00000000-8FCE-406A-94A7-E14D8CA8DB1C}"/>
            </c:ext>
          </c:extLst>
        </c:ser>
        <c:dLbls>
          <c:showLegendKey val="0"/>
          <c:showVal val="0"/>
          <c:showCatName val="0"/>
          <c:showSerName val="0"/>
          <c:showPercent val="0"/>
          <c:showBubbleSize val="0"/>
        </c:dLbls>
        <c:gapWidth val="219"/>
        <c:overlap val="-27"/>
        <c:axId val="1131995424"/>
        <c:axId val="1131995840"/>
      </c:barChart>
      <c:catAx>
        <c:axId val="113199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5840"/>
        <c:crosses val="autoZero"/>
        <c:auto val="1"/>
        <c:lblAlgn val="ctr"/>
        <c:lblOffset val="100"/>
        <c:noMultiLvlLbl val="0"/>
      </c:catAx>
      <c:valAx>
        <c:axId val="1131995840"/>
        <c:scaling>
          <c:orientation val="minMax"/>
        </c:scaling>
        <c:delete val="0"/>
        <c:axPos val="l"/>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Supermarket.xlsx]Sheet6!PivotTable5</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chemeClr val="accent6">
                    <a:lumMod val="50000"/>
                  </a:schemeClr>
                </a:solidFill>
              </a:rPr>
              <a:t>Sales</a:t>
            </a:r>
            <a:r>
              <a:rPr lang="en-GB" baseline="0">
                <a:solidFill>
                  <a:schemeClr val="accent6">
                    <a:lumMod val="50000"/>
                  </a:schemeClr>
                </a:solidFill>
              </a:rPr>
              <a:t> by product</a:t>
            </a:r>
            <a:endParaRPr lang="en-GB">
              <a:solidFill>
                <a:schemeClr val="accent6">
                  <a:lumMod val="50000"/>
                </a:schemeClr>
              </a:solidFill>
            </a:endParaRPr>
          </a:p>
        </c:rich>
      </c:tx>
      <c:layout>
        <c:manualLayout>
          <c:xMode val="edge"/>
          <c:yMode val="edge"/>
          <c:x val="0.45456933508311459"/>
          <c:y val="0.1193496646252551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6">
                <a:lumMod val="75000"/>
              </a:schemeClr>
            </a:solidFill>
            <a:ln>
              <a:noFill/>
            </a:ln>
            <a:effectLst/>
            <a:sp3d/>
          </c:spPr>
          <c:invertIfNegative val="0"/>
          <c:cat>
            <c:strRef>
              <c:f>Sheet6!$A$4:$A$14</c:f>
              <c:strCache>
                <c:ptCount val="10"/>
                <c:pt idx="0">
                  <c:v>Beans</c:v>
                </c:pt>
                <c:pt idx="1">
                  <c:v>Bread</c:v>
                </c:pt>
                <c:pt idx="2">
                  <c:v>Coca-cola</c:v>
                </c:pt>
                <c:pt idx="3">
                  <c:v>Detergent</c:v>
                </c:pt>
                <c:pt idx="4">
                  <c:v>Indomie</c:v>
                </c:pt>
                <c:pt idx="5">
                  <c:v>Milk</c:v>
                </c:pt>
                <c:pt idx="6">
                  <c:v>Potato</c:v>
                </c:pt>
                <c:pt idx="7">
                  <c:v>Rice</c:v>
                </c:pt>
                <c:pt idx="8">
                  <c:v>Sponge</c:v>
                </c:pt>
                <c:pt idx="9">
                  <c:v>Yam</c:v>
                </c:pt>
              </c:strCache>
            </c:strRef>
          </c:cat>
          <c:val>
            <c:numRef>
              <c:f>Sheet6!$B$4:$B$14</c:f>
              <c:numCache>
                <c:formatCode>General</c:formatCode>
                <c:ptCount val="10"/>
                <c:pt idx="0">
                  <c:v>19800</c:v>
                </c:pt>
                <c:pt idx="1">
                  <c:v>22400</c:v>
                </c:pt>
                <c:pt idx="2">
                  <c:v>66100</c:v>
                </c:pt>
                <c:pt idx="3">
                  <c:v>17620</c:v>
                </c:pt>
                <c:pt idx="4">
                  <c:v>13300</c:v>
                </c:pt>
                <c:pt idx="5">
                  <c:v>10700</c:v>
                </c:pt>
                <c:pt idx="6">
                  <c:v>14100</c:v>
                </c:pt>
                <c:pt idx="7">
                  <c:v>102690</c:v>
                </c:pt>
                <c:pt idx="8">
                  <c:v>17000</c:v>
                </c:pt>
                <c:pt idx="9">
                  <c:v>15000</c:v>
                </c:pt>
              </c:numCache>
            </c:numRef>
          </c:val>
          <c:extLst>
            <c:ext xmlns:c16="http://schemas.microsoft.com/office/drawing/2014/chart" uri="{C3380CC4-5D6E-409C-BE32-E72D297353CC}">
              <c16:uniqueId val="{00000000-42D8-43E8-9AA4-1BC5BB73B154}"/>
            </c:ext>
          </c:extLst>
        </c:ser>
        <c:dLbls>
          <c:showLegendKey val="0"/>
          <c:showVal val="0"/>
          <c:showCatName val="0"/>
          <c:showSerName val="0"/>
          <c:showPercent val="0"/>
          <c:showBubbleSize val="0"/>
        </c:dLbls>
        <c:gapWidth val="150"/>
        <c:shape val="box"/>
        <c:axId val="1131984192"/>
        <c:axId val="1131980864"/>
        <c:axId val="0"/>
      </c:bar3DChart>
      <c:catAx>
        <c:axId val="113198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80864"/>
        <c:crosses val="autoZero"/>
        <c:auto val="1"/>
        <c:lblAlgn val="ctr"/>
        <c:lblOffset val="100"/>
        <c:noMultiLvlLbl val="0"/>
      </c:catAx>
      <c:valAx>
        <c:axId val="113198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8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F9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Supermarket.xlsx]Sheet6!PivotTable5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Sheet6!$B$3</c:f>
              <c:strCache>
                <c:ptCount val="1"/>
                <c:pt idx="0">
                  <c:v>Total</c:v>
                </c:pt>
              </c:strCache>
            </c:strRef>
          </c:tx>
          <c:spPr>
            <a:solidFill>
              <a:schemeClr val="accent1"/>
            </a:solidFill>
            <a:ln>
              <a:noFill/>
            </a:ln>
            <a:effectLst/>
          </c:spPr>
          <c:invertIfNegative val="0"/>
          <c:cat>
            <c:strRef>
              <c:f>Sheet6!$A$4:$A$14</c:f>
              <c:strCache>
                <c:ptCount val="10"/>
                <c:pt idx="0">
                  <c:v>Beans</c:v>
                </c:pt>
                <c:pt idx="1">
                  <c:v>Bread</c:v>
                </c:pt>
                <c:pt idx="2">
                  <c:v>Coca-cola</c:v>
                </c:pt>
                <c:pt idx="3">
                  <c:v>Detergent</c:v>
                </c:pt>
                <c:pt idx="4">
                  <c:v>Indomie</c:v>
                </c:pt>
                <c:pt idx="5">
                  <c:v>Milk</c:v>
                </c:pt>
                <c:pt idx="6">
                  <c:v>Potato</c:v>
                </c:pt>
                <c:pt idx="7">
                  <c:v>Rice</c:v>
                </c:pt>
                <c:pt idx="8">
                  <c:v>Sponge</c:v>
                </c:pt>
                <c:pt idx="9">
                  <c:v>Yam</c:v>
                </c:pt>
              </c:strCache>
            </c:strRef>
          </c:cat>
          <c:val>
            <c:numRef>
              <c:f>Sheet6!$B$4:$B$14</c:f>
              <c:numCache>
                <c:formatCode>General</c:formatCode>
                <c:ptCount val="10"/>
                <c:pt idx="0">
                  <c:v>19800</c:v>
                </c:pt>
                <c:pt idx="1">
                  <c:v>22400</c:v>
                </c:pt>
                <c:pt idx="2">
                  <c:v>66100</c:v>
                </c:pt>
                <c:pt idx="3">
                  <c:v>17620</c:v>
                </c:pt>
                <c:pt idx="4">
                  <c:v>13300</c:v>
                </c:pt>
                <c:pt idx="5">
                  <c:v>10700</c:v>
                </c:pt>
                <c:pt idx="6">
                  <c:v>14100</c:v>
                </c:pt>
                <c:pt idx="7">
                  <c:v>102690</c:v>
                </c:pt>
                <c:pt idx="8">
                  <c:v>17000</c:v>
                </c:pt>
                <c:pt idx="9">
                  <c:v>15000</c:v>
                </c:pt>
              </c:numCache>
            </c:numRef>
          </c:val>
          <c:extLst>
            <c:ext xmlns:c16="http://schemas.microsoft.com/office/drawing/2014/chart" uri="{C3380CC4-5D6E-409C-BE32-E72D297353CC}">
              <c16:uniqueId val="{00000000-861D-43EA-8BE2-5930280CBD9E}"/>
            </c:ext>
          </c:extLst>
        </c:ser>
        <c:dLbls>
          <c:showLegendKey val="0"/>
          <c:showVal val="0"/>
          <c:showCatName val="0"/>
          <c:showSerName val="0"/>
          <c:showPercent val="0"/>
          <c:showBubbleSize val="0"/>
        </c:dLbls>
        <c:gapWidth val="150"/>
        <c:overlap val="100"/>
        <c:axId val="1132004576"/>
        <c:axId val="1132004992"/>
      </c:barChart>
      <c:catAx>
        <c:axId val="1132004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04992"/>
        <c:crosses val="autoZero"/>
        <c:auto val="1"/>
        <c:lblAlgn val="ctr"/>
        <c:lblOffset val="100"/>
        <c:noMultiLvlLbl val="0"/>
      </c:catAx>
      <c:valAx>
        <c:axId val="1132004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0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 Supermarket.xlsx]Sheet6!PivotTable5</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Sales</a:t>
            </a:r>
            <a:r>
              <a:rPr lang="en-GB" baseline="0"/>
              <a:t> by product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Sheet6!$B$3</c:f>
              <c:strCache>
                <c:ptCount val="1"/>
                <c:pt idx="0">
                  <c:v>Total</c:v>
                </c:pt>
              </c:strCache>
            </c:strRef>
          </c:tx>
          <c:spPr>
            <a:solidFill>
              <a:schemeClr val="accent1"/>
            </a:solidFill>
            <a:ln>
              <a:noFill/>
            </a:ln>
            <a:effectLst/>
            <a:sp3d/>
          </c:spPr>
          <c:invertIfNegative val="0"/>
          <c:cat>
            <c:strRef>
              <c:f>Sheet6!$A$4:$A$14</c:f>
              <c:strCache>
                <c:ptCount val="10"/>
                <c:pt idx="0">
                  <c:v>Beans</c:v>
                </c:pt>
                <c:pt idx="1">
                  <c:v>Bread</c:v>
                </c:pt>
                <c:pt idx="2">
                  <c:v>Coca-cola</c:v>
                </c:pt>
                <c:pt idx="3">
                  <c:v>Detergent</c:v>
                </c:pt>
                <c:pt idx="4">
                  <c:v>Indomie</c:v>
                </c:pt>
                <c:pt idx="5">
                  <c:v>Milk</c:v>
                </c:pt>
                <c:pt idx="6">
                  <c:v>Potato</c:v>
                </c:pt>
                <c:pt idx="7">
                  <c:v>Rice</c:v>
                </c:pt>
                <c:pt idx="8">
                  <c:v>Sponge</c:v>
                </c:pt>
                <c:pt idx="9">
                  <c:v>Yam</c:v>
                </c:pt>
              </c:strCache>
            </c:strRef>
          </c:cat>
          <c:val>
            <c:numRef>
              <c:f>Sheet6!$B$4:$B$14</c:f>
              <c:numCache>
                <c:formatCode>General</c:formatCode>
                <c:ptCount val="10"/>
                <c:pt idx="0">
                  <c:v>19800</c:v>
                </c:pt>
                <c:pt idx="1">
                  <c:v>22400</c:v>
                </c:pt>
                <c:pt idx="2">
                  <c:v>66100</c:v>
                </c:pt>
                <c:pt idx="3">
                  <c:v>17620</c:v>
                </c:pt>
                <c:pt idx="4">
                  <c:v>13300</c:v>
                </c:pt>
                <c:pt idx="5">
                  <c:v>10700</c:v>
                </c:pt>
                <c:pt idx="6">
                  <c:v>14100</c:v>
                </c:pt>
                <c:pt idx="7">
                  <c:v>102690</c:v>
                </c:pt>
                <c:pt idx="8">
                  <c:v>17000</c:v>
                </c:pt>
                <c:pt idx="9">
                  <c:v>15000</c:v>
                </c:pt>
              </c:numCache>
            </c:numRef>
          </c:val>
          <c:extLst>
            <c:ext xmlns:c16="http://schemas.microsoft.com/office/drawing/2014/chart" uri="{C3380CC4-5D6E-409C-BE32-E72D297353CC}">
              <c16:uniqueId val="{00000000-8E10-4635-B290-37C2F0E1F192}"/>
            </c:ext>
          </c:extLst>
        </c:ser>
        <c:dLbls>
          <c:showLegendKey val="0"/>
          <c:showVal val="0"/>
          <c:showCatName val="0"/>
          <c:showSerName val="0"/>
          <c:showPercent val="0"/>
          <c:showBubbleSize val="0"/>
        </c:dLbls>
        <c:gapWidth val="150"/>
        <c:shape val="box"/>
        <c:axId val="1131984192"/>
        <c:axId val="1131980864"/>
        <c:axId val="0"/>
      </c:bar3DChart>
      <c:catAx>
        <c:axId val="113198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80864"/>
        <c:crosses val="autoZero"/>
        <c:auto val="1"/>
        <c:lblAlgn val="ctr"/>
        <c:lblOffset val="100"/>
        <c:noMultiLvlLbl val="0"/>
      </c:catAx>
      <c:valAx>
        <c:axId val="113198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8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147637</xdr:colOff>
      <xdr:row>7</xdr:row>
      <xdr:rowOff>85725</xdr:rowOff>
    </xdr:from>
    <xdr:to>
      <xdr:col>10</xdr:col>
      <xdr:colOff>452437</xdr:colOff>
      <xdr:row>21</xdr:row>
      <xdr:rowOff>161925</xdr:rowOff>
    </xdr:to>
    <xdr:graphicFrame macro="">
      <xdr:nvGraphicFramePr>
        <xdr:cNvPr id="3" name="Chart 2">
          <a:extLst>
            <a:ext uri="{FF2B5EF4-FFF2-40B4-BE49-F238E27FC236}">
              <a16:creationId xmlns:a16="http://schemas.microsoft.com/office/drawing/2014/main" id="{B2C4BB9F-ADA2-4862-83B1-D5808310C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7</xdr:row>
      <xdr:rowOff>85725</xdr:rowOff>
    </xdr:from>
    <xdr:to>
      <xdr:col>10</xdr:col>
      <xdr:colOff>333375</xdr:colOff>
      <xdr:row>21</xdr:row>
      <xdr:rowOff>161925</xdr:rowOff>
    </xdr:to>
    <xdr:graphicFrame macro="">
      <xdr:nvGraphicFramePr>
        <xdr:cNvPr id="2" name="Chart 1">
          <a:extLst>
            <a:ext uri="{FF2B5EF4-FFF2-40B4-BE49-F238E27FC236}">
              <a16:creationId xmlns:a16="http://schemas.microsoft.com/office/drawing/2014/main" id="{F7F3DFE0-92DA-45D4-8BF1-EDC412B8C6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242887</xdr:colOff>
      <xdr:row>4</xdr:row>
      <xdr:rowOff>104775</xdr:rowOff>
    </xdr:from>
    <xdr:to>
      <xdr:col>10</xdr:col>
      <xdr:colOff>547687</xdr:colOff>
      <xdr:row>18</xdr:row>
      <xdr:rowOff>180975</xdr:rowOff>
    </xdr:to>
    <xdr:graphicFrame macro="">
      <xdr:nvGraphicFramePr>
        <xdr:cNvPr id="4" name="Chart 3">
          <a:extLst>
            <a:ext uri="{FF2B5EF4-FFF2-40B4-BE49-F238E27FC236}">
              <a16:creationId xmlns:a16="http://schemas.microsoft.com/office/drawing/2014/main" id="{B5F17B6A-8980-4A3B-B3DF-BFFB8EFB8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47626</xdr:rowOff>
    </xdr:from>
    <xdr:to>
      <xdr:col>0</xdr:col>
      <xdr:colOff>1562100</xdr:colOff>
      <xdr:row>18</xdr:row>
      <xdr:rowOff>28575</xdr:rowOff>
    </xdr:to>
    <mc:AlternateContent xmlns:mc="http://schemas.openxmlformats.org/markup-compatibility/2006">
      <mc:Choice xmlns:a14="http://schemas.microsoft.com/office/drawing/2010/main" Requires="a14">
        <xdr:graphicFrame macro="">
          <xdr:nvGraphicFramePr>
            <xdr:cNvPr id="13" name="State">
              <a:extLst>
                <a:ext uri="{FF2B5EF4-FFF2-40B4-BE49-F238E27FC236}">
                  <a16:creationId xmlns:a16="http://schemas.microsoft.com/office/drawing/2014/main" id="{BE29D736-64D3-4841-A1D6-FEC8868A056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0" y="2035452"/>
              <a:ext cx="1562100" cy="20764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180975</xdr:colOff>
      <xdr:row>7</xdr:row>
      <xdr:rowOff>57150</xdr:rowOff>
    </xdr:from>
    <xdr:to>
      <xdr:col>16</xdr:col>
      <xdr:colOff>542925</xdr:colOff>
      <xdr:row>19</xdr:row>
      <xdr:rowOff>180975</xdr:rowOff>
    </xdr:to>
    <xdr:graphicFrame macro="">
      <xdr:nvGraphicFramePr>
        <xdr:cNvPr id="4" name="Chart 3">
          <a:extLst>
            <a:ext uri="{FF2B5EF4-FFF2-40B4-BE49-F238E27FC236}">
              <a16:creationId xmlns:a16="http://schemas.microsoft.com/office/drawing/2014/main" id="{A489DE1B-059A-41A0-8051-20572EA26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1666875</xdr:colOff>
      <xdr:row>23</xdr:row>
      <xdr:rowOff>28576</xdr:rowOff>
    </xdr:from>
    <xdr:to>
      <xdr:col>7</xdr:col>
      <xdr:colOff>161925</xdr:colOff>
      <xdr:row>36</xdr:row>
      <xdr:rowOff>104776</xdr:rowOff>
    </xdr:to>
    <xdr:graphicFrame macro="">
      <xdr:nvGraphicFramePr>
        <xdr:cNvPr id="5" name="Chart 4">
          <a:extLst>
            <a:ext uri="{FF2B5EF4-FFF2-40B4-BE49-F238E27FC236}">
              <a16:creationId xmlns:a16="http://schemas.microsoft.com/office/drawing/2014/main" id="{74B0A53D-4041-4DAC-9220-F4A3E3214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161925</xdr:colOff>
      <xdr:row>20</xdr:row>
      <xdr:rowOff>19050</xdr:rowOff>
    </xdr:from>
    <xdr:to>
      <xdr:col>16</xdr:col>
      <xdr:colOff>9525</xdr:colOff>
      <xdr:row>34</xdr:row>
      <xdr:rowOff>95250</xdr:rowOff>
    </xdr:to>
    <xdr:graphicFrame macro="">
      <xdr:nvGraphicFramePr>
        <xdr:cNvPr id="9" name="Chart 8">
          <a:extLst>
            <a:ext uri="{FF2B5EF4-FFF2-40B4-BE49-F238E27FC236}">
              <a16:creationId xmlns:a16="http://schemas.microsoft.com/office/drawing/2014/main" id="{0A00EAD4-3D7A-4A6B-BDDC-319B88CDF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1647825</xdr:colOff>
      <xdr:row>7</xdr:row>
      <xdr:rowOff>28575</xdr:rowOff>
    </xdr:from>
    <xdr:to>
      <xdr:col>8</xdr:col>
      <xdr:colOff>123824</xdr:colOff>
      <xdr:row>23</xdr:row>
      <xdr:rowOff>47625</xdr:rowOff>
    </xdr:to>
    <xdr:graphicFrame macro="">
      <xdr:nvGraphicFramePr>
        <xdr:cNvPr id="11" name="Chart 10">
          <a:extLst>
            <a:ext uri="{FF2B5EF4-FFF2-40B4-BE49-F238E27FC236}">
              <a16:creationId xmlns:a16="http://schemas.microsoft.com/office/drawing/2014/main" id="{192E28DE-158A-4CCE-83AD-0E02E9DCF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19</xdr:row>
      <xdr:rowOff>123826</xdr:rowOff>
    </xdr:from>
    <xdr:to>
      <xdr:col>0</xdr:col>
      <xdr:colOff>1581150</xdr:colOff>
      <xdr:row>26</xdr:row>
      <xdr:rowOff>0</xdr:rowOff>
    </xdr:to>
    <mc:AlternateContent xmlns:mc="http://schemas.openxmlformats.org/markup-compatibility/2006">
      <mc:Choice xmlns:a14="http://schemas.microsoft.com/office/drawing/2010/main" Requires="a14">
        <xdr:graphicFrame macro="">
          <xdr:nvGraphicFramePr>
            <xdr:cNvPr id="14" name="Paymet Method">
              <a:extLst>
                <a:ext uri="{FF2B5EF4-FFF2-40B4-BE49-F238E27FC236}">
                  <a16:creationId xmlns:a16="http://schemas.microsoft.com/office/drawing/2014/main" id="{367349F4-FF0E-496E-B88A-8596E6722731}"/>
                </a:ext>
              </a:extLst>
            </xdr:cNvPr>
            <xdr:cNvGraphicFramePr/>
          </xdr:nvGraphicFramePr>
          <xdr:xfrm>
            <a:off x="0" y="0"/>
            <a:ext cx="0" cy="0"/>
          </xdr:xfrm>
          <a:graphic>
            <a:graphicData uri="http://schemas.microsoft.com/office/drawing/2010/slicer">
              <sle:slicer xmlns:sle="http://schemas.microsoft.com/office/drawing/2010/slicer" name="Paymet Method"/>
            </a:graphicData>
          </a:graphic>
        </xdr:graphicFrame>
      </mc:Choice>
      <mc:Fallback>
        <xdr:sp macro="" textlink="">
          <xdr:nvSpPr>
            <xdr:cNvPr id="0" name=""/>
            <xdr:cNvSpPr>
              <a:spLocks noTextEdit="1"/>
            </xdr:cNvSpPr>
          </xdr:nvSpPr>
          <xdr:spPr>
            <a:xfrm>
              <a:off x="0" y="4397652"/>
              <a:ext cx="1581150" cy="12096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138112</xdr:colOff>
      <xdr:row>15</xdr:row>
      <xdr:rowOff>123825</xdr:rowOff>
    </xdr:from>
    <xdr:to>
      <xdr:col>6</xdr:col>
      <xdr:colOff>585787</xdr:colOff>
      <xdr:row>30</xdr:row>
      <xdr:rowOff>9525</xdr:rowOff>
    </xdr:to>
    <xdr:graphicFrame macro="">
      <xdr:nvGraphicFramePr>
        <xdr:cNvPr id="2" name="Chart 1">
          <a:extLst>
            <a:ext uri="{FF2B5EF4-FFF2-40B4-BE49-F238E27FC236}">
              <a16:creationId xmlns:a16="http://schemas.microsoft.com/office/drawing/2014/main" id="{986A1CFA-DBC0-4A45-B73B-500DFCEBC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47625</xdr:colOff>
      <xdr:row>3</xdr:row>
      <xdr:rowOff>85725</xdr:rowOff>
    </xdr:from>
    <xdr:to>
      <xdr:col>15</xdr:col>
      <xdr:colOff>352425</xdr:colOff>
      <xdr:row>17</xdr:row>
      <xdr:rowOff>161925</xdr:rowOff>
    </xdr:to>
    <xdr:graphicFrame macro="">
      <xdr:nvGraphicFramePr>
        <xdr:cNvPr id="3" name="Chart 2">
          <a:extLst>
            <a:ext uri="{FF2B5EF4-FFF2-40B4-BE49-F238E27FC236}">
              <a16:creationId xmlns:a16="http://schemas.microsoft.com/office/drawing/2014/main" id="{9374A82A-2957-44EE-972E-348B701DF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1.564576851852" createdVersion="7" refreshedVersion="7" minRefreshableVersion="3" recordCount="25" xr:uid="{FE8984D8-3773-4758-BF95-ABCC1631D291}">
  <cacheSource type="worksheet">
    <worksheetSource name="Table1"/>
  </cacheSource>
  <cacheFields count="13">
    <cacheField name="Order ID" numFmtId="0">
      <sharedItems/>
    </cacheField>
    <cacheField name="Order Date" numFmtId="14">
      <sharedItems containsSemiMixedTypes="0" containsNonDate="0" containsDate="1" containsString="0" minDate="2026-01-01T00:00:00" maxDate="2026-02-09T00:00:00" count="25">
        <d v="2026-01-01T00:00:00"/>
        <d v="2026-01-02T00:00:00"/>
        <d v="2026-01-05T00:00:00"/>
        <d v="2026-01-07T00:00:00"/>
        <d v="2026-01-10T00:00:00"/>
        <d v="2026-01-12T00:00:00"/>
        <d v="2026-01-14T00:00:00"/>
        <d v="2026-01-15T00:00:00"/>
        <d v="2026-01-16T00:00:00"/>
        <d v="2026-01-19T00:00:00"/>
        <d v="2026-01-20T00:00:00"/>
        <d v="2026-01-22T00:00:00"/>
        <d v="2026-01-23T00:00:00"/>
        <d v="2026-01-25T00:00:00"/>
        <d v="2026-01-27T00:00:00"/>
        <d v="2026-01-29T00:00:00"/>
        <d v="2026-01-31T00:00:00"/>
        <d v="2026-02-01T00:00:00"/>
        <d v="2026-02-02T00:00:00"/>
        <d v="2026-02-03T00:00:00"/>
        <d v="2026-02-04T00:00:00"/>
        <d v="2026-02-05T00:00:00"/>
        <d v="2026-02-06T00:00:00"/>
        <d v="2026-02-07T00:00:00"/>
        <d v="2026-02-08T00:00:00"/>
      </sharedItems>
      <fieldGroup par="12" base="1">
        <rangePr groupBy="days" startDate="2026-01-01T00:00:00" endDate="2026-02-09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2/2026"/>
        </groupItems>
      </fieldGroup>
    </cacheField>
    <cacheField name="Product Name" numFmtId="0">
      <sharedItems count="10">
        <s v="Rice"/>
        <s v="Coca-cola"/>
        <s v="Indomie"/>
        <s v="Detergent"/>
        <s v="Milk"/>
        <s v="Bread"/>
        <s v="Beans"/>
        <s v="Yam"/>
        <s v="Potato"/>
        <s v="Sponge"/>
      </sharedItems>
    </cacheField>
    <cacheField name="Category" numFmtId="0">
      <sharedItems count="3">
        <s v="Food"/>
        <s v="Beverages"/>
        <s v="Household"/>
      </sharedItems>
    </cacheField>
    <cacheField name="State" numFmtId="0">
      <sharedItems count="7">
        <s v="Lagos"/>
        <s v="Ogun"/>
        <s v="Ibadan"/>
        <s v="Abuja"/>
        <s v="Ikeja"/>
        <s v="Oyo"/>
        <s v="Rivers"/>
      </sharedItems>
    </cacheField>
    <cacheField name="Quantity" numFmtId="0">
      <sharedItems containsSemiMixedTypes="0" containsString="0" containsNumber="1" containsInteger="1" minValue="2" maxValue="13"/>
    </cacheField>
    <cacheField name="Unit Priice" numFmtId="0">
      <sharedItems containsSemiMixedTypes="0" containsString="0" containsNumber="1" containsInteger="1" minValue="200" maxValue="45000"/>
    </cacheField>
    <cacheField name="Sales" numFmtId="0">
      <sharedItems containsSemiMixedTypes="0" containsString="0" containsNumber="1" containsInteger="1" minValue="1020" maxValue="90000" count="22">
        <n v="90000"/>
        <n v="4000"/>
        <n v="1020"/>
        <n v="3500"/>
        <n v="20000"/>
        <n v="1500"/>
        <n v="22500"/>
        <n v="19800"/>
        <n v="13600"/>
        <n v="1200"/>
        <n v="7200"/>
        <n v="10800"/>
        <n v="13000"/>
        <n v="9000"/>
        <n v="32400"/>
        <n v="9300"/>
        <n v="12000"/>
        <n v="2400"/>
        <n v="1400"/>
        <n v="3300"/>
        <n v="3100"/>
        <n v="2490"/>
      </sharedItems>
    </cacheField>
    <cacheField name="Cost" numFmtId="0">
      <sharedItems containsSemiMixedTypes="0" containsString="0" containsNumber="1" containsInteger="1" minValue="490" maxValue="70000"/>
    </cacheField>
    <cacheField name="Profit" numFmtId="0">
      <sharedItems containsSemiMixedTypes="0" containsString="0" containsNumber="1" containsInteger="1" minValue="120" maxValue="26300"/>
    </cacheField>
    <cacheField name="Paymet Method" numFmtId="0">
      <sharedItems count="3">
        <s v="Transfer"/>
        <s v="Cash"/>
        <s v="POS"/>
      </sharedItems>
    </cacheField>
    <cacheField name="Customer Type" numFmtId="0">
      <sharedItems/>
    </cacheField>
    <cacheField name="Months" numFmtId="0" databaseField="0">
      <fieldGroup base="1">
        <rangePr groupBy="months" startDate="2026-01-01T00:00:00" endDate="2026-02-09T00:00:00"/>
        <groupItems count="14">
          <s v="&lt;01/01/2026"/>
          <s v="Jan"/>
          <s v="Feb"/>
          <s v="Mar"/>
          <s v="Apr"/>
          <s v="May"/>
          <s v="Jun"/>
          <s v="Jul"/>
          <s v="Aug"/>
          <s v="Sep"/>
          <s v="Oct"/>
          <s v="Nov"/>
          <s v="Dec"/>
          <s v="&gt;09/02/2026"/>
        </groupItems>
      </fieldGroup>
    </cacheField>
  </cacheFields>
  <extLst>
    <ext xmlns:x14="http://schemas.microsoft.com/office/spreadsheetml/2009/9/main" uri="{725AE2AE-9491-48be-B2B4-4EB974FC3084}">
      <x14:pivotCacheDefinition pivotCacheId="158759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ORD001"/>
    <x v="0"/>
    <x v="0"/>
    <x v="0"/>
    <x v="0"/>
    <n v="2"/>
    <n v="45000"/>
    <x v="0"/>
    <n v="70000"/>
    <n v="20000"/>
    <x v="0"/>
    <s v="New"/>
  </r>
  <r>
    <s v="ORD002"/>
    <x v="1"/>
    <x v="1"/>
    <x v="1"/>
    <x v="1"/>
    <n v="4"/>
    <n v="1000"/>
    <x v="1"/>
    <n v="1500"/>
    <n v="2500"/>
    <x v="1"/>
    <s v="Returning"/>
  </r>
  <r>
    <s v="ORD003"/>
    <x v="2"/>
    <x v="2"/>
    <x v="0"/>
    <x v="2"/>
    <n v="8"/>
    <n v="500"/>
    <x v="1"/>
    <n v="3500"/>
    <n v="500"/>
    <x v="0"/>
    <s v="New"/>
  </r>
  <r>
    <s v="ORD004"/>
    <x v="3"/>
    <x v="3"/>
    <x v="2"/>
    <x v="3"/>
    <n v="3"/>
    <n v="340"/>
    <x v="2"/>
    <n v="900"/>
    <n v="120"/>
    <x v="0"/>
    <s v="New"/>
  </r>
  <r>
    <s v="ORD005"/>
    <x v="4"/>
    <x v="4"/>
    <x v="1"/>
    <x v="4"/>
    <n v="7"/>
    <n v="500"/>
    <x v="3"/>
    <n v="3000"/>
    <n v="500"/>
    <x v="2"/>
    <s v="Returning"/>
  </r>
  <r>
    <s v="ORD006"/>
    <x v="5"/>
    <x v="5"/>
    <x v="0"/>
    <x v="5"/>
    <n v="10"/>
    <n v="2000"/>
    <x v="4"/>
    <n v="1000"/>
    <n v="19000"/>
    <x v="1"/>
    <s v="New"/>
  </r>
  <r>
    <s v="ORD007"/>
    <x v="6"/>
    <x v="3"/>
    <x v="2"/>
    <x v="1"/>
    <n v="6"/>
    <n v="250"/>
    <x v="5"/>
    <n v="1200"/>
    <n v="300"/>
    <x v="2"/>
    <s v="Returning"/>
  </r>
  <r>
    <s v="ORD008"/>
    <x v="7"/>
    <x v="1"/>
    <x v="1"/>
    <x v="0"/>
    <n v="9"/>
    <n v="2500"/>
    <x v="6"/>
    <n v="3400"/>
    <n v="19100"/>
    <x v="0"/>
    <s v="Returning"/>
  </r>
  <r>
    <s v="ORD009"/>
    <x v="8"/>
    <x v="6"/>
    <x v="0"/>
    <x v="1"/>
    <n v="11"/>
    <n v="1800"/>
    <x v="7"/>
    <n v="2000"/>
    <n v="17800"/>
    <x v="1"/>
    <s v="Returning"/>
  </r>
  <r>
    <s v="ORD010"/>
    <x v="9"/>
    <x v="7"/>
    <x v="0"/>
    <x v="2"/>
    <n v="4"/>
    <n v="3400"/>
    <x v="8"/>
    <n v="2300"/>
    <n v="11300"/>
    <x v="1"/>
    <s v="New"/>
  </r>
  <r>
    <s v="ORD011"/>
    <x v="10"/>
    <x v="0"/>
    <x v="0"/>
    <x v="3"/>
    <n v="2"/>
    <n v="600"/>
    <x v="9"/>
    <n v="490"/>
    <n v="710"/>
    <x v="2"/>
    <s v="Returning"/>
  </r>
  <r>
    <s v="ORD012"/>
    <x v="11"/>
    <x v="1"/>
    <x v="1"/>
    <x v="5"/>
    <n v="9"/>
    <n v="800"/>
    <x v="10"/>
    <n v="2200"/>
    <n v="5000"/>
    <x v="0"/>
    <s v="New"/>
  </r>
  <r>
    <s v="ORD013"/>
    <x v="12"/>
    <x v="8"/>
    <x v="0"/>
    <x v="3"/>
    <n v="12"/>
    <n v="900"/>
    <x v="11"/>
    <n v="1900"/>
    <n v="8900"/>
    <x v="0"/>
    <s v="New"/>
  </r>
  <r>
    <s v="ORD014"/>
    <x v="13"/>
    <x v="9"/>
    <x v="2"/>
    <x v="4"/>
    <n v="13"/>
    <n v="1000"/>
    <x v="12"/>
    <n v="7000"/>
    <n v="6000"/>
    <x v="1"/>
    <s v="New"/>
  </r>
  <r>
    <s v="ORD015"/>
    <x v="14"/>
    <x v="0"/>
    <x v="0"/>
    <x v="0"/>
    <n v="6"/>
    <n v="1500"/>
    <x v="13"/>
    <n v="6000"/>
    <n v="3000"/>
    <x v="2"/>
    <s v="Returning"/>
  </r>
  <r>
    <s v="ORD016"/>
    <x v="15"/>
    <x v="1"/>
    <x v="1"/>
    <x v="1"/>
    <n v="9"/>
    <n v="3600"/>
    <x v="14"/>
    <n v="6100"/>
    <n v="26300"/>
    <x v="1"/>
    <s v="Returning"/>
  </r>
  <r>
    <s v="ORD017"/>
    <x v="16"/>
    <x v="2"/>
    <x v="0"/>
    <x v="6"/>
    <n v="3"/>
    <n v="3100"/>
    <x v="15"/>
    <n v="5000"/>
    <n v="4300"/>
    <x v="0"/>
    <s v="New"/>
  </r>
  <r>
    <s v="ORD018"/>
    <x v="17"/>
    <x v="3"/>
    <x v="2"/>
    <x v="6"/>
    <n v="6"/>
    <n v="2000"/>
    <x v="16"/>
    <n v="5300"/>
    <n v="6700"/>
    <x v="1"/>
    <s v="Returning"/>
  </r>
  <r>
    <s v="ORD019"/>
    <x v="18"/>
    <x v="4"/>
    <x v="1"/>
    <x v="5"/>
    <n v="4"/>
    <n v="1800"/>
    <x v="10"/>
    <n v="5200"/>
    <n v="2000"/>
    <x v="2"/>
    <s v="New"/>
  </r>
  <r>
    <s v="ORD020"/>
    <x v="19"/>
    <x v="5"/>
    <x v="0"/>
    <x v="2"/>
    <n v="8"/>
    <n v="300"/>
    <x v="17"/>
    <n v="800"/>
    <n v="1600"/>
    <x v="0"/>
    <s v="Returning"/>
  </r>
  <r>
    <s v="ORD021"/>
    <x v="20"/>
    <x v="7"/>
    <x v="0"/>
    <x v="3"/>
    <n v="7"/>
    <n v="200"/>
    <x v="18"/>
    <n v="600"/>
    <n v="800"/>
    <x v="1"/>
    <s v="New"/>
  </r>
  <r>
    <s v="ORD022"/>
    <x v="21"/>
    <x v="8"/>
    <x v="0"/>
    <x v="4"/>
    <n v="6"/>
    <n v="550"/>
    <x v="19"/>
    <n v="1500"/>
    <n v="1800"/>
    <x v="1"/>
    <s v="Returning"/>
  </r>
  <r>
    <s v="ORD023"/>
    <x v="22"/>
    <x v="3"/>
    <x v="2"/>
    <x v="5"/>
    <n v="5"/>
    <n v="620"/>
    <x v="20"/>
    <n v="2500"/>
    <n v="600"/>
    <x v="2"/>
    <s v="New"/>
  </r>
  <r>
    <s v="ORD024"/>
    <x v="23"/>
    <x v="9"/>
    <x v="2"/>
    <x v="1"/>
    <n v="4"/>
    <n v="710"/>
    <x v="1"/>
    <n v="3000"/>
    <n v="1000"/>
    <x v="0"/>
    <s v="New"/>
  </r>
  <r>
    <s v="ORD025"/>
    <x v="24"/>
    <x v="0"/>
    <x v="0"/>
    <x v="0"/>
    <n v="3"/>
    <n v="830"/>
    <x v="21"/>
    <n v="2000"/>
    <n v="490"/>
    <x v="0"/>
    <s v="Return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91B66B-AD15-429A-886A-69A0FCB859FF}"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4">
        <item x="1"/>
        <item x="0"/>
        <item x="2"/>
        <item t="default"/>
      </items>
    </pivotField>
    <pivotField showAll="0"/>
    <pivotField showAll="0"/>
    <pivotField showAll="0"/>
    <pivotField dataField="1" showAll="0">
      <items count="23">
        <item x="2"/>
        <item x="9"/>
        <item x="18"/>
        <item x="5"/>
        <item x="17"/>
        <item x="21"/>
        <item x="20"/>
        <item x="19"/>
        <item x="3"/>
        <item x="1"/>
        <item x="10"/>
        <item x="13"/>
        <item x="15"/>
        <item x="11"/>
        <item x="16"/>
        <item x="12"/>
        <item x="8"/>
        <item x="7"/>
        <item x="4"/>
        <item x="6"/>
        <item x="14"/>
        <item x="0"/>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6D54C-FDA2-4AF7-B4F1-05F15CFEF58C}"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3:B11" firstHeaderRow="1" firstDataRow="1" firstDataCol="1"/>
  <pivotFields count="13">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8">
        <item x="3"/>
        <item x="2"/>
        <item x="4"/>
        <item x="0"/>
        <item x="1"/>
        <item x="5"/>
        <item x="6"/>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8">
    <i>
      <x/>
    </i>
    <i>
      <x v="1"/>
    </i>
    <i>
      <x v="2"/>
    </i>
    <i>
      <x v="3"/>
    </i>
    <i>
      <x v="4"/>
    </i>
    <i>
      <x v="5"/>
    </i>
    <i>
      <x v="6"/>
    </i>
    <i t="grand">
      <x/>
    </i>
  </rowItems>
  <colItems count="1">
    <i/>
  </colItems>
  <dataFields count="1">
    <dataField name="Sum of Sales" fld="7"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662B3-5F5D-45AB-A85D-285384FE7A7F}"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6" firstHeaderRow="1" firstDataRow="1" firstDataCol="1"/>
  <pivotFields count="13">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1"/>
  </rowFields>
  <rowItems count="3">
    <i>
      <x v="1"/>
    </i>
    <i>
      <x v="2"/>
    </i>
    <i t="grand">
      <x/>
    </i>
  </rowItems>
  <colItems count="1">
    <i/>
  </colItems>
  <dataFields count="1">
    <dataField name="Sum of Sales" fld="7"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09AFD-6044-491D-BED4-EEBD49ADA641}" name="PivotTable6"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B7" firstHeaderRow="1" firstDataRow="1" firstDataCol="1"/>
  <pivotFields count="13">
    <pivotField showAll="0"/>
    <pivotField numFmtId="14" showAll="0"/>
    <pivotField showAll="0"/>
    <pivotField showAll="0"/>
    <pivotField showAll="0"/>
    <pivotField showAll="0"/>
    <pivotField showAll="0"/>
    <pivotField dataField="1" showAll="0">
      <items count="23">
        <item x="2"/>
        <item x="9"/>
        <item x="18"/>
        <item x="5"/>
        <item x="17"/>
        <item x="21"/>
        <item x="20"/>
        <item x="19"/>
        <item x="3"/>
        <item x="1"/>
        <item x="10"/>
        <item x="13"/>
        <item x="15"/>
        <item x="11"/>
        <item x="16"/>
        <item x="12"/>
        <item x="8"/>
        <item x="7"/>
        <item x="4"/>
        <item x="6"/>
        <item x="14"/>
        <item x="0"/>
        <item t="default"/>
      </items>
    </pivotField>
    <pivotField showAll="0"/>
    <pivotField showAll="0"/>
    <pivotField axis="axisRow" showAll="0">
      <items count="4">
        <item x="1"/>
        <item x="2"/>
        <item x="0"/>
        <item t="default"/>
      </items>
    </pivotField>
    <pivotField showAll="0"/>
    <pivotField showAll="0" defaultSubtotal="0"/>
  </pivotFields>
  <rowFields count="1">
    <field x="10"/>
  </rowFields>
  <rowItems count="4">
    <i>
      <x/>
    </i>
    <i>
      <x v="1"/>
    </i>
    <i>
      <x v="2"/>
    </i>
    <i t="grand">
      <x/>
    </i>
  </rowItems>
  <colItems count="1">
    <i/>
  </colItems>
  <dataFields count="1">
    <dataField name="Sum of Sales" fld="7" baseField="0" baseItem="0"/>
  </dataFields>
  <chartFormats count="5">
    <chartFormat chart="17"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0" count="1" selected="0">
            <x v="0"/>
          </reference>
        </references>
      </pivotArea>
    </chartFormat>
    <chartFormat chart="23" format="7">
      <pivotArea type="data" outline="0" fieldPosition="0">
        <references count="2">
          <reference field="4294967294" count="1" selected="0">
            <x v="0"/>
          </reference>
          <reference field="10" count="1" selected="0">
            <x v="1"/>
          </reference>
        </references>
      </pivotArea>
    </chartFormat>
    <chartFormat chart="2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B881B2-4941-4013-82E1-70F82149D9BC}"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6">
  <location ref="A3:B14" firstHeaderRow="1" firstDataRow="1" firstDataCol="1"/>
  <pivotFields count="13">
    <pivotField showAll="0"/>
    <pivotField numFmtId="14" showAll="0"/>
    <pivotField axis="axisRow" showAll="0">
      <items count="11">
        <item x="6"/>
        <item x="5"/>
        <item x="1"/>
        <item x="3"/>
        <item x="2"/>
        <item x="4"/>
        <item x="8"/>
        <item x="0"/>
        <item x="9"/>
        <item x="7"/>
        <item t="default"/>
      </items>
    </pivotField>
    <pivotField showAll="0"/>
    <pivotField showAll="0">
      <items count="8">
        <item x="3"/>
        <item x="2"/>
        <item x="4"/>
        <item x="0"/>
        <item x="1"/>
        <item x="5"/>
        <item x="6"/>
        <item t="default"/>
      </items>
    </pivotField>
    <pivotField showAll="0"/>
    <pivotField showAll="0"/>
    <pivotField dataField="1" showAll="0"/>
    <pivotField showAll="0"/>
    <pivotField showAll="0"/>
    <pivotField showAll="0">
      <items count="4">
        <item x="1"/>
        <item x="2"/>
        <item x="0"/>
        <item t="default"/>
      </items>
    </pivotField>
    <pivotField showAll="0"/>
    <pivotField showAll="0" defaultSubtotal="0"/>
  </pivotFields>
  <rowFields count="1">
    <field x="2"/>
  </rowFields>
  <rowItems count="11">
    <i>
      <x/>
    </i>
    <i>
      <x v="1"/>
    </i>
    <i>
      <x v="2"/>
    </i>
    <i>
      <x v="3"/>
    </i>
    <i>
      <x v="4"/>
    </i>
    <i>
      <x v="5"/>
    </i>
    <i>
      <x v="6"/>
    </i>
    <i>
      <x v="7"/>
    </i>
    <i>
      <x v="8"/>
    </i>
    <i>
      <x v="9"/>
    </i>
    <i t="grand">
      <x/>
    </i>
  </rowItems>
  <colItems count="1">
    <i/>
  </colItems>
  <dataFields count="1">
    <dataField name="Sum of Sales" fld="7" baseField="0" baseItem="0"/>
  </dataFields>
  <chartFormats count="3">
    <chartFormat chart="11"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7D440FE-3F57-40DF-B858-388E22C30EA2}" sourceName="State">
  <pivotTables>
    <pivotTable tabId="6" name="PivotTable5"/>
  </pivotTables>
  <data>
    <tabular pivotCacheId="158759760">
      <items count="7">
        <i x="3" s="1"/>
        <i x="2" s="1"/>
        <i x="4" s="1"/>
        <i x="0"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t_Method" xr10:uid="{A7F77D6C-5B1B-47C5-88F9-C7DB6316F9E0}" sourceName="Paymet Method">
  <pivotTables>
    <pivotTable tabId="6" name="PivotTable5"/>
  </pivotTables>
  <data>
    <tabular pivotCacheId="15875976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69F4FF6-E60F-42FC-8E15-CEB2B7A0588B}" cache="Slicer_State" caption="State" style="SlicerStyleDark6" rowHeight="241300"/>
  <slicer name="Paymet Method" xr10:uid="{A2D5A322-09B6-47AA-9581-CC1C54B43DDF}" cache="Slicer_Paymet_Method" caption="Paymet Method"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C3A90-4B46-4AC1-B457-B5750915C9C6}" name="Table1" displayName="Table1" ref="A1:L26" totalsRowShown="0">
  <autoFilter ref="A1:L26" xr:uid="{C41C3A90-4B46-4AC1-B457-B5750915C9C6}"/>
  <tableColumns count="12">
    <tableColumn id="1" xr3:uid="{307079EC-8B1B-4F9C-86E9-F25748C65635}" name="Order ID"/>
    <tableColumn id="2" xr3:uid="{9C014302-7CAC-40E2-9500-6E595ACF38D7}" name="Order Date" dataDxfId="0"/>
    <tableColumn id="3" xr3:uid="{61095432-57B4-42BE-A5B1-4C4E2A05EDC0}" name="Product Name"/>
    <tableColumn id="4" xr3:uid="{3F265455-C667-4425-B1B7-458EAF576A23}" name="Category"/>
    <tableColumn id="5" xr3:uid="{1C8C637B-DF06-4EAF-B250-288BB38359B2}" name="State"/>
    <tableColumn id="6" xr3:uid="{46EFE965-210D-46B5-BD56-838199FBA54B}" name="Quantity"/>
    <tableColumn id="7" xr3:uid="{9D571E13-9D8F-4770-A58C-BDC10ADCB787}" name="Unit Priice"/>
    <tableColumn id="8" xr3:uid="{8578ADF0-48C5-4360-9FA0-1516A695869A}" name="Sales">
      <calculatedColumnFormula>F2*G2</calculatedColumnFormula>
    </tableColumn>
    <tableColumn id="9" xr3:uid="{E1BD4AD9-7E8A-422F-899D-81D54AAA36D8}" name="Cost"/>
    <tableColumn id="10" xr3:uid="{1620EB8C-383E-441E-B6E6-2A4A0403944D}" name="Profit">
      <calculatedColumnFormula>H2-I2</calculatedColumnFormula>
    </tableColumn>
    <tableColumn id="11" xr3:uid="{B36A5CE4-1C63-4B19-96C8-460F0EDB06CD}" name="Paymet Method"/>
    <tableColumn id="12" xr3:uid="{52368D49-0E5C-48C0-91D6-59FC4B7886D4}" name="Customer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5EDA-2AF9-427E-89DC-B3F5E5EA80B0}">
  <dimension ref="A3:B7"/>
  <sheetViews>
    <sheetView workbookViewId="0">
      <selection activeCell="A3" sqref="A3"/>
    </sheetView>
  </sheetViews>
  <sheetFormatPr defaultRowHeight="15" x14ac:dyDescent="0.25"/>
  <cols>
    <col min="1" max="1" width="13.140625" bestFit="1" customWidth="1"/>
    <col min="2" max="2" width="12.140625" bestFit="1" customWidth="1"/>
    <col min="3" max="14" width="5" bestFit="1" customWidth="1"/>
    <col min="15" max="23" width="6" bestFit="1" customWidth="1"/>
    <col min="24" max="24" width="11.28515625" bestFit="1" customWidth="1"/>
    <col min="25" max="25" width="6.85546875" bestFit="1" customWidth="1"/>
    <col min="26" max="26" width="9.85546875" bestFit="1" customWidth="1"/>
    <col min="27" max="27" width="6.85546875" bestFit="1" customWidth="1"/>
    <col min="28" max="28" width="9.85546875" bestFit="1" customWidth="1"/>
    <col min="29" max="29" width="7.85546875" bestFit="1" customWidth="1"/>
    <col min="30" max="30" width="10.85546875" bestFit="1" customWidth="1"/>
    <col min="31" max="31" width="10.5703125" bestFit="1" customWidth="1"/>
    <col min="32" max="32" width="10.85546875" bestFit="1" customWidth="1"/>
    <col min="33" max="33" width="10.5703125" bestFit="1" customWidth="1"/>
    <col min="34" max="34" width="10.85546875" bestFit="1" customWidth="1"/>
    <col min="35" max="35" width="7.85546875" bestFit="1" customWidth="1"/>
    <col min="36" max="36" width="10.85546875" bestFit="1" customWidth="1"/>
    <col min="37" max="37" width="7.85546875" bestFit="1" customWidth="1"/>
    <col min="38" max="38" width="10.85546875" bestFit="1" customWidth="1"/>
    <col min="39" max="39" width="7.85546875" bestFit="1" customWidth="1"/>
    <col min="40" max="40" width="10.85546875" bestFit="1" customWidth="1"/>
    <col min="41" max="41" width="10.140625" bestFit="1" customWidth="1"/>
    <col min="42" max="42" width="10.85546875" bestFit="1" customWidth="1"/>
    <col min="43" max="43" width="10.140625" bestFit="1" customWidth="1"/>
    <col min="44" max="44" width="10.85546875" bestFit="1" customWidth="1"/>
    <col min="45" max="45" width="7.85546875" bestFit="1" customWidth="1"/>
    <col min="46" max="46" width="10.85546875" bestFit="1" customWidth="1"/>
    <col min="47" max="47" width="11.28515625" bestFit="1" customWidth="1"/>
  </cols>
  <sheetData>
    <row r="3" spans="1:2" x14ac:dyDescent="0.25">
      <c r="A3" s="2" t="s">
        <v>62</v>
      </c>
      <c r="B3" t="s">
        <v>64</v>
      </c>
    </row>
    <row r="4" spans="1:2" x14ac:dyDescent="0.25">
      <c r="A4" s="3" t="s">
        <v>37</v>
      </c>
      <c r="B4" s="4">
        <v>76800</v>
      </c>
    </row>
    <row r="5" spans="1:2" x14ac:dyDescent="0.25">
      <c r="A5" s="3" t="s">
        <v>36</v>
      </c>
      <c r="B5" s="4">
        <v>187290</v>
      </c>
    </row>
    <row r="6" spans="1:2" x14ac:dyDescent="0.25">
      <c r="A6" s="3" t="s">
        <v>38</v>
      </c>
      <c r="B6" s="4">
        <v>34620</v>
      </c>
    </row>
    <row r="7" spans="1:2" x14ac:dyDescent="0.25">
      <c r="A7" s="3" t="s">
        <v>63</v>
      </c>
      <c r="B7" s="4">
        <v>298710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CED95-37DC-4E88-B978-967100F5EE8C}">
  <dimension ref="A3:B11"/>
  <sheetViews>
    <sheetView workbookViewId="0">
      <selection activeCell="A4" sqref="A4:B10"/>
    </sheetView>
  </sheetViews>
  <sheetFormatPr defaultRowHeight="15" x14ac:dyDescent="0.25"/>
  <cols>
    <col min="1" max="1" width="13.140625" bestFit="1" customWidth="1"/>
    <col min="2" max="2" width="12.140625" bestFit="1" customWidth="1"/>
  </cols>
  <sheetData>
    <row r="3" spans="1:2" x14ac:dyDescent="0.25">
      <c r="A3" s="2" t="s">
        <v>62</v>
      </c>
      <c r="B3" t="s">
        <v>64</v>
      </c>
    </row>
    <row r="4" spans="1:2" x14ac:dyDescent="0.25">
      <c r="A4" s="3" t="s">
        <v>45</v>
      </c>
      <c r="B4" s="4">
        <v>14420</v>
      </c>
    </row>
    <row r="5" spans="1:2" x14ac:dyDescent="0.25">
      <c r="A5" s="3" t="s">
        <v>44</v>
      </c>
      <c r="B5" s="4">
        <v>20000</v>
      </c>
    </row>
    <row r="6" spans="1:2" x14ac:dyDescent="0.25">
      <c r="A6" s="3" t="s">
        <v>46</v>
      </c>
      <c r="B6" s="4">
        <v>19800</v>
      </c>
    </row>
    <row r="7" spans="1:2" x14ac:dyDescent="0.25">
      <c r="A7" s="3" t="s">
        <v>42</v>
      </c>
      <c r="B7" s="4">
        <v>123990</v>
      </c>
    </row>
    <row r="8" spans="1:2" x14ac:dyDescent="0.25">
      <c r="A8" s="3" t="s">
        <v>43</v>
      </c>
      <c r="B8" s="4">
        <v>61700</v>
      </c>
    </row>
    <row r="9" spans="1:2" x14ac:dyDescent="0.25">
      <c r="A9" s="3" t="s">
        <v>47</v>
      </c>
      <c r="B9" s="4">
        <v>37500</v>
      </c>
    </row>
    <row r="10" spans="1:2" x14ac:dyDescent="0.25">
      <c r="A10" s="3" t="s">
        <v>48</v>
      </c>
      <c r="B10" s="4">
        <v>21300</v>
      </c>
    </row>
    <row r="11" spans="1:2" x14ac:dyDescent="0.25">
      <c r="A11" s="3" t="s">
        <v>63</v>
      </c>
      <c r="B11" s="4">
        <v>298710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929A-0288-4F4B-9B83-EE291522A7AB}">
  <dimension ref="A3:B6"/>
  <sheetViews>
    <sheetView workbookViewId="0">
      <selection activeCell="A4" sqref="A4:B5"/>
    </sheetView>
  </sheetViews>
  <sheetFormatPr defaultRowHeight="15" x14ac:dyDescent="0.25"/>
  <cols>
    <col min="1" max="1" width="13.140625" bestFit="1" customWidth="1"/>
    <col min="2" max="2" width="12.140625" bestFit="1" customWidth="1"/>
  </cols>
  <sheetData>
    <row r="3" spans="1:2" x14ac:dyDescent="0.25">
      <c r="A3" s="2" t="s">
        <v>62</v>
      </c>
      <c r="B3" t="s">
        <v>64</v>
      </c>
    </row>
    <row r="4" spans="1:2" x14ac:dyDescent="0.25">
      <c r="A4" s="3" t="s">
        <v>65</v>
      </c>
      <c r="B4" s="4">
        <v>262820</v>
      </c>
    </row>
    <row r="5" spans="1:2" x14ac:dyDescent="0.25">
      <c r="A5" s="3" t="s">
        <v>66</v>
      </c>
      <c r="B5" s="4">
        <v>35890</v>
      </c>
    </row>
    <row r="6" spans="1:2" x14ac:dyDescent="0.25">
      <c r="A6" s="3" t="s">
        <v>63</v>
      </c>
      <c r="B6" s="4">
        <v>298710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FA8E7-82D7-47F4-AA43-5394E022AF97}">
  <dimension ref="A3:B7"/>
  <sheetViews>
    <sheetView workbookViewId="0">
      <selection activeCell="H20" sqref="H20"/>
    </sheetView>
  </sheetViews>
  <sheetFormatPr defaultRowHeight="15" x14ac:dyDescent="0.25"/>
  <cols>
    <col min="1" max="1" width="13.140625" bestFit="1" customWidth="1"/>
    <col min="2" max="2" width="12.140625" bestFit="1" customWidth="1"/>
  </cols>
  <sheetData>
    <row r="3" spans="1:2" x14ac:dyDescent="0.25">
      <c r="A3" s="2" t="s">
        <v>62</v>
      </c>
      <c r="B3" t="s">
        <v>64</v>
      </c>
    </row>
    <row r="4" spans="1:2" x14ac:dyDescent="0.25">
      <c r="A4" s="3" t="s">
        <v>60</v>
      </c>
      <c r="B4" s="4">
        <v>119500</v>
      </c>
    </row>
    <row r="5" spans="1:2" x14ac:dyDescent="0.25">
      <c r="A5" s="3" t="s">
        <v>61</v>
      </c>
      <c r="B5" s="4">
        <v>25500</v>
      </c>
    </row>
    <row r="6" spans="1:2" x14ac:dyDescent="0.25">
      <c r="A6" s="3" t="s">
        <v>57</v>
      </c>
      <c r="B6" s="4">
        <v>153710</v>
      </c>
    </row>
    <row r="7" spans="1:2" x14ac:dyDescent="0.25">
      <c r="A7" s="3" t="s">
        <v>63</v>
      </c>
      <c r="B7" s="4">
        <v>298710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804F-C177-46B7-BBBC-F8B1C72DDAB1}">
  <dimension ref="A2:Q8"/>
  <sheetViews>
    <sheetView showGridLines="0" tabSelected="1" topLeftCell="A2" zoomScale="115" zoomScaleNormal="115" workbookViewId="0">
      <selection activeCell="G4" sqref="G4"/>
    </sheetView>
  </sheetViews>
  <sheetFormatPr defaultRowHeight="15" x14ac:dyDescent="0.25"/>
  <cols>
    <col min="1" max="1" width="26.28515625" customWidth="1"/>
    <col min="2" max="2" width="6.28515625" customWidth="1"/>
    <col min="3" max="3" width="16.7109375" customWidth="1"/>
    <col min="4" max="4" width="9.42578125" customWidth="1"/>
    <col min="5" max="5" width="11.28515625" customWidth="1"/>
    <col min="6" max="6" width="14.28515625" hidden="1" customWidth="1"/>
    <col min="7" max="7" width="17.85546875" customWidth="1"/>
  </cols>
  <sheetData>
    <row r="2" spans="1:17" ht="51" x14ac:dyDescent="0.8">
      <c r="A2" s="13"/>
      <c r="B2" s="14" t="s">
        <v>69</v>
      </c>
      <c r="C2" s="15"/>
      <c r="D2" s="15"/>
      <c r="E2" s="15"/>
      <c r="F2" s="15"/>
      <c r="G2" s="15"/>
      <c r="H2" s="15"/>
      <c r="I2" s="15"/>
      <c r="J2" s="15"/>
      <c r="K2" s="15"/>
      <c r="L2" s="15"/>
      <c r="M2" s="15"/>
      <c r="N2" s="15"/>
      <c r="O2" s="15"/>
      <c r="P2" s="15"/>
      <c r="Q2" s="13"/>
    </row>
    <row r="3" spans="1:17" s="8" customFormat="1" x14ac:dyDescent="0.25"/>
    <row r="4" spans="1:17" ht="25.5" x14ac:dyDescent="0.4">
      <c r="A4" s="5"/>
      <c r="B4" s="5"/>
      <c r="C4" s="16" t="s">
        <v>67</v>
      </c>
      <c r="D4" s="12"/>
      <c r="E4" s="12"/>
      <c r="F4" s="17" t="s">
        <v>72</v>
      </c>
      <c r="G4" s="17" t="s">
        <v>73</v>
      </c>
      <c r="H4" s="12"/>
      <c r="I4" s="5" t="s">
        <v>70</v>
      </c>
      <c r="J4" s="12" t="s">
        <v>74</v>
      </c>
      <c r="K4" s="12"/>
      <c r="L4" s="12"/>
      <c r="M4" s="5"/>
      <c r="N4" s="5"/>
      <c r="O4" s="5"/>
      <c r="P4" s="5"/>
      <c r="Q4" s="5"/>
    </row>
    <row r="5" spans="1:17" ht="28.5" x14ac:dyDescent="0.45">
      <c r="A5" s="5"/>
      <c r="B5" s="18"/>
      <c r="C5" s="20">
        <v>208710</v>
      </c>
      <c r="D5" s="10"/>
      <c r="E5" s="5"/>
      <c r="F5" s="7" t="s">
        <v>71</v>
      </c>
      <c r="G5" s="20">
        <v>160320</v>
      </c>
      <c r="H5" s="10"/>
      <c r="I5" s="5"/>
      <c r="J5" s="10"/>
      <c r="K5" s="19">
        <v>25</v>
      </c>
      <c r="L5" s="10"/>
      <c r="M5" s="5"/>
      <c r="N5" s="5"/>
      <c r="O5" s="5"/>
      <c r="P5" s="5"/>
      <c r="Q5" s="5"/>
    </row>
    <row r="6" spans="1:17" ht="6.75" customHeight="1" x14ac:dyDescent="0.35">
      <c r="A6" s="5"/>
      <c r="B6" s="5"/>
      <c r="C6" s="6"/>
      <c r="D6" s="5"/>
      <c r="E6" s="5"/>
      <c r="F6" s="7"/>
      <c r="G6" s="9"/>
      <c r="H6" s="11"/>
      <c r="I6" s="5"/>
      <c r="J6" s="10"/>
      <c r="K6" s="10"/>
      <c r="L6" s="10"/>
      <c r="M6" s="5"/>
      <c r="N6" s="5"/>
      <c r="O6" s="5"/>
      <c r="P6" s="5"/>
      <c r="Q6" s="5"/>
    </row>
    <row r="7" spans="1:17" x14ac:dyDescent="0.25">
      <c r="A7" s="5"/>
      <c r="B7" s="5"/>
      <c r="C7" s="5"/>
      <c r="D7" s="5"/>
      <c r="E7" s="5"/>
      <c r="F7" s="5" t="s">
        <v>68</v>
      </c>
      <c r="G7" s="5"/>
      <c r="H7" s="5"/>
      <c r="I7" s="5"/>
      <c r="J7" s="5"/>
      <c r="K7" s="5"/>
      <c r="L7" s="5"/>
      <c r="M7" s="5"/>
      <c r="N7" s="5"/>
      <c r="O7" s="5"/>
      <c r="P7" s="5"/>
      <c r="Q7" s="5"/>
    </row>
    <row r="8" spans="1:17" x14ac:dyDescent="0.25">
      <c r="F8">
        <v>160320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F01A9-8042-485E-B995-0A90D7C2FC3F}">
  <dimension ref="A1:L26"/>
  <sheetViews>
    <sheetView workbookViewId="0">
      <selection activeCell="A12" sqref="A12:XFD12"/>
    </sheetView>
  </sheetViews>
  <sheetFormatPr defaultRowHeight="15" x14ac:dyDescent="0.25"/>
  <cols>
    <col min="1" max="1" width="10.5703125" customWidth="1"/>
    <col min="2" max="2" width="12.85546875" customWidth="1"/>
    <col min="3" max="3" width="15.7109375" customWidth="1"/>
    <col min="4" max="4" width="11.85546875" customWidth="1"/>
    <col min="5" max="5" width="11.42578125" customWidth="1"/>
    <col min="6" max="6" width="10.85546875" customWidth="1"/>
    <col min="7" max="7" width="12.42578125" customWidth="1"/>
    <col min="11" max="11" width="17.42578125" customWidth="1"/>
    <col min="12" max="12" width="16.42578125" customWidth="1"/>
  </cols>
  <sheetData>
    <row r="1" spans="1:12" x14ac:dyDescent="0.25">
      <c r="A1" t="s">
        <v>0</v>
      </c>
      <c r="B1" t="s">
        <v>1</v>
      </c>
      <c r="C1" t="s">
        <v>2</v>
      </c>
      <c r="D1" t="s">
        <v>41</v>
      </c>
      <c r="E1" t="s">
        <v>49</v>
      </c>
      <c r="F1" t="s">
        <v>50</v>
      </c>
      <c r="G1" t="s">
        <v>51</v>
      </c>
      <c r="H1" t="s">
        <v>52</v>
      </c>
      <c r="I1" t="s">
        <v>53</v>
      </c>
      <c r="J1" t="s">
        <v>54</v>
      </c>
      <c r="K1" t="s">
        <v>55</v>
      </c>
      <c r="L1" t="s">
        <v>56</v>
      </c>
    </row>
    <row r="2" spans="1:12" x14ac:dyDescent="0.25">
      <c r="A2" t="s">
        <v>3</v>
      </c>
      <c r="B2" s="1">
        <v>46023</v>
      </c>
      <c r="C2" t="s">
        <v>28</v>
      </c>
      <c r="D2" t="s">
        <v>36</v>
      </c>
      <c r="E2" t="s">
        <v>42</v>
      </c>
      <c r="F2">
        <v>2</v>
      </c>
      <c r="G2">
        <v>45000</v>
      </c>
      <c r="H2">
        <f>F2*G2</f>
        <v>90000</v>
      </c>
      <c r="I2">
        <v>70000</v>
      </c>
      <c r="J2">
        <f>H2-I2</f>
        <v>20000</v>
      </c>
      <c r="K2" t="s">
        <v>57</v>
      </c>
      <c r="L2" t="s">
        <v>58</v>
      </c>
    </row>
    <row r="3" spans="1:12" x14ac:dyDescent="0.25">
      <c r="A3" t="s">
        <v>4</v>
      </c>
      <c r="B3" s="1">
        <v>46024</v>
      </c>
      <c r="C3" t="s">
        <v>29</v>
      </c>
      <c r="D3" t="s">
        <v>37</v>
      </c>
      <c r="E3" t="s">
        <v>43</v>
      </c>
      <c r="F3">
        <v>4</v>
      </c>
      <c r="G3">
        <v>1000</v>
      </c>
      <c r="H3">
        <f t="shared" ref="H3:H26" si="0">F3*G3</f>
        <v>4000</v>
      </c>
      <c r="I3">
        <v>1500</v>
      </c>
      <c r="J3">
        <f t="shared" ref="J3:J26" si="1">H3-I3</f>
        <v>2500</v>
      </c>
      <c r="K3" t="s">
        <v>60</v>
      </c>
      <c r="L3" t="s">
        <v>59</v>
      </c>
    </row>
    <row r="4" spans="1:12" x14ac:dyDescent="0.25">
      <c r="A4" t="s">
        <v>5</v>
      </c>
      <c r="B4" s="1">
        <v>46027</v>
      </c>
      <c r="C4" t="s">
        <v>30</v>
      </c>
      <c r="D4" t="s">
        <v>36</v>
      </c>
      <c r="E4" t="s">
        <v>44</v>
      </c>
      <c r="F4">
        <v>8</v>
      </c>
      <c r="G4">
        <v>500</v>
      </c>
      <c r="H4">
        <f t="shared" si="0"/>
        <v>4000</v>
      </c>
      <c r="I4">
        <v>3500</v>
      </c>
      <c r="J4">
        <f t="shared" si="1"/>
        <v>500</v>
      </c>
      <c r="K4" t="s">
        <v>57</v>
      </c>
      <c r="L4" t="s">
        <v>58</v>
      </c>
    </row>
    <row r="5" spans="1:12" x14ac:dyDescent="0.25">
      <c r="A5" t="s">
        <v>6</v>
      </c>
      <c r="B5" s="1">
        <v>46029</v>
      </c>
      <c r="C5" t="s">
        <v>31</v>
      </c>
      <c r="D5" t="s">
        <v>38</v>
      </c>
      <c r="E5" t="s">
        <v>45</v>
      </c>
      <c r="F5">
        <v>3</v>
      </c>
      <c r="G5">
        <v>340</v>
      </c>
      <c r="H5">
        <f t="shared" si="0"/>
        <v>1020</v>
      </c>
      <c r="I5">
        <v>900</v>
      </c>
      <c r="J5">
        <f t="shared" si="1"/>
        <v>120</v>
      </c>
      <c r="K5" t="s">
        <v>57</v>
      </c>
      <c r="L5" t="s">
        <v>58</v>
      </c>
    </row>
    <row r="6" spans="1:12" x14ac:dyDescent="0.25">
      <c r="A6" t="s">
        <v>7</v>
      </c>
      <c r="B6" s="1">
        <v>46032</v>
      </c>
      <c r="C6" t="s">
        <v>32</v>
      </c>
      <c r="D6" t="s">
        <v>37</v>
      </c>
      <c r="E6" t="s">
        <v>46</v>
      </c>
      <c r="F6">
        <v>7</v>
      </c>
      <c r="G6">
        <v>500</v>
      </c>
      <c r="H6">
        <f t="shared" si="0"/>
        <v>3500</v>
      </c>
      <c r="I6">
        <v>3000</v>
      </c>
      <c r="J6">
        <f t="shared" si="1"/>
        <v>500</v>
      </c>
      <c r="K6" t="s">
        <v>61</v>
      </c>
      <c r="L6" t="s">
        <v>59</v>
      </c>
    </row>
    <row r="7" spans="1:12" x14ac:dyDescent="0.25">
      <c r="A7" t="s">
        <v>8</v>
      </c>
      <c r="B7" s="1">
        <v>46034</v>
      </c>
      <c r="C7" t="s">
        <v>33</v>
      </c>
      <c r="D7" t="s">
        <v>36</v>
      </c>
      <c r="E7" t="s">
        <v>47</v>
      </c>
      <c r="F7">
        <v>10</v>
      </c>
      <c r="G7">
        <v>2000</v>
      </c>
      <c r="H7">
        <f t="shared" si="0"/>
        <v>20000</v>
      </c>
      <c r="I7">
        <v>1000</v>
      </c>
      <c r="J7">
        <f t="shared" si="1"/>
        <v>19000</v>
      </c>
      <c r="K7" t="s">
        <v>60</v>
      </c>
      <c r="L7" t="s">
        <v>58</v>
      </c>
    </row>
    <row r="8" spans="1:12" x14ac:dyDescent="0.25">
      <c r="A8" t="s">
        <v>9</v>
      </c>
      <c r="B8" s="1">
        <v>46036</v>
      </c>
      <c r="C8" t="s">
        <v>31</v>
      </c>
      <c r="D8" t="s">
        <v>38</v>
      </c>
      <c r="E8" t="s">
        <v>43</v>
      </c>
      <c r="F8">
        <v>6</v>
      </c>
      <c r="G8">
        <v>250</v>
      </c>
      <c r="H8">
        <f t="shared" si="0"/>
        <v>1500</v>
      </c>
      <c r="I8">
        <v>1200</v>
      </c>
      <c r="J8">
        <f t="shared" si="1"/>
        <v>300</v>
      </c>
      <c r="K8" t="s">
        <v>61</v>
      </c>
      <c r="L8" t="s">
        <v>59</v>
      </c>
    </row>
    <row r="9" spans="1:12" x14ac:dyDescent="0.25">
      <c r="A9" t="s">
        <v>10</v>
      </c>
      <c r="B9" s="1">
        <v>46037</v>
      </c>
      <c r="C9" t="s">
        <v>29</v>
      </c>
      <c r="D9" t="s">
        <v>37</v>
      </c>
      <c r="E9" t="s">
        <v>42</v>
      </c>
      <c r="F9">
        <v>9</v>
      </c>
      <c r="G9">
        <v>2500</v>
      </c>
      <c r="H9">
        <f t="shared" si="0"/>
        <v>22500</v>
      </c>
      <c r="I9">
        <v>3400</v>
      </c>
      <c r="J9">
        <f t="shared" si="1"/>
        <v>19100</v>
      </c>
      <c r="K9" t="s">
        <v>57</v>
      </c>
      <c r="L9" t="s">
        <v>59</v>
      </c>
    </row>
    <row r="10" spans="1:12" x14ac:dyDescent="0.25">
      <c r="A10" t="s">
        <v>11</v>
      </c>
      <c r="B10" s="1">
        <v>46038</v>
      </c>
      <c r="C10" t="s">
        <v>34</v>
      </c>
      <c r="D10" t="s">
        <v>36</v>
      </c>
      <c r="E10" t="s">
        <v>43</v>
      </c>
      <c r="F10">
        <v>11</v>
      </c>
      <c r="G10">
        <v>1800</v>
      </c>
      <c r="H10">
        <f t="shared" si="0"/>
        <v>19800</v>
      </c>
      <c r="I10">
        <v>2000</v>
      </c>
      <c r="J10">
        <f t="shared" si="1"/>
        <v>17800</v>
      </c>
      <c r="K10" t="s">
        <v>60</v>
      </c>
      <c r="L10" t="s">
        <v>59</v>
      </c>
    </row>
    <row r="11" spans="1:12" x14ac:dyDescent="0.25">
      <c r="A11" t="s">
        <v>12</v>
      </c>
      <c r="B11" s="1">
        <v>46041</v>
      </c>
      <c r="C11" t="s">
        <v>35</v>
      </c>
      <c r="D11" t="s">
        <v>36</v>
      </c>
      <c r="E11" t="s">
        <v>44</v>
      </c>
      <c r="F11">
        <v>4</v>
      </c>
      <c r="G11">
        <v>3400</v>
      </c>
      <c r="H11">
        <f t="shared" si="0"/>
        <v>13600</v>
      </c>
      <c r="I11">
        <v>2300</v>
      </c>
      <c r="J11">
        <f t="shared" si="1"/>
        <v>11300</v>
      </c>
      <c r="K11" t="s">
        <v>60</v>
      </c>
      <c r="L11" t="s">
        <v>58</v>
      </c>
    </row>
    <row r="12" spans="1:12" x14ac:dyDescent="0.25">
      <c r="A12" t="s">
        <v>13</v>
      </c>
      <c r="B12" s="1">
        <v>46042</v>
      </c>
      <c r="C12" t="s">
        <v>28</v>
      </c>
      <c r="D12" t="s">
        <v>36</v>
      </c>
      <c r="E12" t="s">
        <v>45</v>
      </c>
      <c r="F12">
        <v>2</v>
      </c>
      <c r="G12">
        <v>600</v>
      </c>
      <c r="H12">
        <f t="shared" si="0"/>
        <v>1200</v>
      </c>
      <c r="I12">
        <v>490</v>
      </c>
      <c r="J12">
        <f t="shared" si="1"/>
        <v>710</v>
      </c>
      <c r="K12" t="s">
        <v>61</v>
      </c>
      <c r="L12" t="s">
        <v>59</v>
      </c>
    </row>
    <row r="13" spans="1:12" x14ac:dyDescent="0.25">
      <c r="A13" t="s">
        <v>14</v>
      </c>
      <c r="B13" s="1">
        <v>46044</v>
      </c>
      <c r="C13" t="s">
        <v>29</v>
      </c>
      <c r="D13" t="s">
        <v>37</v>
      </c>
      <c r="E13" t="s">
        <v>47</v>
      </c>
      <c r="F13">
        <v>9</v>
      </c>
      <c r="G13">
        <v>800</v>
      </c>
      <c r="H13">
        <f t="shared" si="0"/>
        <v>7200</v>
      </c>
      <c r="I13">
        <v>2200</v>
      </c>
      <c r="J13">
        <f t="shared" si="1"/>
        <v>5000</v>
      </c>
      <c r="K13" t="s">
        <v>57</v>
      </c>
      <c r="L13" t="s">
        <v>58</v>
      </c>
    </row>
    <row r="14" spans="1:12" x14ac:dyDescent="0.25">
      <c r="A14" t="s">
        <v>15</v>
      </c>
      <c r="B14" s="1">
        <v>46045</v>
      </c>
      <c r="C14" t="s">
        <v>39</v>
      </c>
      <c r="D14" t="s">
        <v>36</v>
      </c>
      <c r="E14" t="s">
        <v>45</v>
      </c>
      <c r="F14">
        <v>12</v>
      </c>
      <c r="G14">
        <v>900</v>
      </c>
      <c r="H14">
        <f t="shared" si="0"/>
        <v>10800</v>
      </c>
      <c r="I14">
        <v>1900</v>
      </c>
      <c r="J14">
        <f t="shared" si="1"/>
        <v>8900</v>
      </c>
      <c r="K14" t="s">
        <v>57</v>
      </c>
      <c r="L14" t="s">
        <v>58</v>
      </c>
    </row>
    <row r="15" spans="1:12" x14ac:dyDescent="0.25">
      <c r="A15" t="s">
        <v>16</v>
      </c>
      <c r="B15" s="1">
        <v>46047</v>
      </c>
      <c r="C15" t="s">
        <v>40</v>
      </c>
      <c r="D15" t="s">
        <v>38</v>
      </c>
      <c r="E15" t="s">
        <v>46</v>
      </c>
      <c r="F15">
        <v>13</v>
      </c>
      <c r="G15">
        <v>1000</v>
      </c>
      <c r="H15">
        <f t="shared" si="0"/>
        <v>13000</v>
      </c>
      <c r="I15">
        <v>7000</v>
      </c>
      <c r="J15">
        <f t="shared" si="1"/>
        <v>6000</v>
      </c>
      <c r="K15" t="s">
        <v>60</v>
      </c>
      <c r="L15" t="s">
        <v>58</v>
      </c>
    </row>
    <row r="16" spans="1:12" x14ac:dyDescent="0.25">
      <c r="A16" t="s">
        <v>17</v>
      </c>
      <c r="B16" s="1">
        <v>46049</v>
      </c>
      <c r="C16" t="s">
        <v>28</v>
      </c>
      <c r="D16" t="s">
        <v>36</v>
      </c>
      <c r="E16" t="s">
        <v>42</v>
      </c>
      <c r="F16">
        <v>6</v>
      </c>
      <c r="G16">
        <v>1500</v>
      </c>
      <c r="H16">
        <f t="shared" si="0"/>
        <v>9000</v>
      </c>
      <c r="I16">
        <v>6000</v>
      </c>
      <c r="J16">
        <f t="shared" si="1"/>
        <v>3000</v>
      </c>
      <c r="K16" t="s">
        <v>61</v>
      </c>
      <c r="L16" t="s">
        <v>59</v>
      </c>
    </row>
    <row r="17" spans="1:12" x14ac:dyDescent="0.25">
      <c r="A17" t="s">
        <v>18</v>
      </c>
      <c r="B17" s="1">
        <v>46051</v>
      </c>
      <c r="C17" t="s">
        <v>29</v>
      </c>
      <c r="D17" t="s">
        <v>37</v>
      </c>
      <c r="E17" t="s">
        <v>43</v>
      </c>
      <c r="F17">
        <v>9</v>
      </c>
      <c r="G17">
        <v>3600</v>
      </c>
      <c r="H17">
        <f t="shared" si="0"/>
        <v>32400</v>
      </c>
      <c r="I17">
        <v>6100</v>
      </c>
      <c r="J17">
        <f t="shared" si="1"/>
        <v>26300</v>
      </c>
      <c r="K17" t="s">
        <v>60</v>
      </c>
      <c r="L17" t="s">
        <v>59</v>
      </c>
    </row>
    <row r="18" spans="1:12" x14ac:dyDescent="0.25">
      <c r="A18" t="s">
        <v>19</v>
      </c>
      <c r="B18" s="1">
        <v>46053</v>
      </c>
      <c r="C18" t="s">
        <v>30</v>
      </c>
      <c r="D18" t="s">
        <v>36</v>
      </c>
      <c r="E18" t="s">
        <v>48</v>
      </c>
      <c r="F18">
        <v>3</v>
      </c>
      <c r="G18">
        <v>3100</v>
      </c>
      <c r="H18">
        <f t="shared" si="0"/>
        <v>9300</v>
      </c>
      <c r="I18">
        <v>5000</v>
      </c>
      <c r="J18">
        <f t="shared" si="1"/>
        <v>4300</v>
      </c>
      <c r="K18" t="s">
        <v>57</v>
      </c>
      <c r="L18" t="s">
        <v>58</v>
      </c>
    </row>
    <row r="19" spans="1:12" x14ac:dyDescent="0.25">
      <c r="A19" t="s">
        <v>20</v>
      </c>
      <c r="B19" s="1">
        <v>46054</v>
      </c>
      <c r="C19" t="s">
        <v>31</v>
      </c>
      <c r="D19" t="s">
        <v>38</v>
      </c>
      <c r="E19" t="s">
        <v>48</v>
      </c>
      <c r="F19">
        <v>6</v>
      </c>
      <c r="G19">
        <v>2000</v>
      </c>
      <c r="H19">
        <f t="shared" si="0"/>
        <v>12000</v>
      </c>
      <c r="I19">
        <v>5300</v>
      </c>
      <c r="J19">
        <f t="shared" si="1"/>
        <v>6700</v>
      </c>
      <c r="K19" t="s">
        <v>60</v>
      </c>
      <c r="L19" t="s">
        <v>59</v>
      </c>
    </row>
    <row r="20" spans="1:12" x14ac:dyDescent="0.25">
      <c r="A20" t="s">
        <v>21</v>
      </c>
      <c r="B20" s="1">
        <v>46055</v>
      </c>
      <c r="C20" t="s">
        <v>32</v>
      </c>
      <c r="D20" t="s">
        <v>37</v>
      </c>
      <c r="E20" t="s">
        <v>47</v>
      </c>
      <c r="F20">
        <v>4</v>
      </c>
      <c r="G20">
        <v>1800</v>
      </c>
      <c r="H20">
        <f t="shared" si="0"/>
        <v>7200</v>
      </c>
      <c r="I20">
        <v>5200</v>
      </c>
      <c r="J20">
        <f t="shared" si="1"/>
        <v>2000</v>
      </c>
      <c r="K20" t="s">
        <v>61</v>
      </c>
      <c r="L20" t="s">
        <v>58</v>
      </c>
    </row>
    <row r="21" spans="1:12" x14ac:dyDescent="0.25">
      <c r="A21" t="s">
        <v>22</v>
      </c>
      <c r="B21" s="1">
        <v>46056</v>
      </c>
      <c r="C21" t="s">
        <v>33</v>
      </c>
      <c r="D21" t="s">
        <v>36</v>
      </c>
      <c r="E21" t="s">
        <v>44</v>
      </c>
      <c r="F21">
        <v>8</v>
      </c>
      <c r="G21">
        <v>300</v>
      </c>
      <c r="H21">
        <f t="shared" si="0"/>
        <v>2400</v>
      </c>
      <c r="I21">
        <v>800</v>
      </c>
      <c r="J21">
        <f t="shared" si="1"/>
        <v>1600</v>
      </c>
      <c r="K21" t="s">
        <v>57</v>
      </c>
      <c r="L21" t="s">
        <v>59</v>
      </c>
    </row>
    <row r="22" spans="1:12" x14ac:dyDescent="0.25">
      <c r="A22" t="s">
        <v>23</v>
      </c>
      <c r="B22" s="1">
        <v>46057</v>
      </c>
      <c r="C22" t="s">
        <v>35</v>
      </c>
      <c r="D22" t="s">
        <v>36</v>
      </c>
      <c r="E22" t="s">
        <v>45</v>
      </c>
      <c r="F22">
        <v>7</v>
      </c>
      <c r="G22">
        <v>200</v>
      </c>
      <c r="H22">
        <f t="shared" si="0"/>
        <v>1400</v>
      </c>
      <c r="I22">
        <v>600</v>
      </c>
      <c r="J22">
        <f t="shared" si="1"/>
        <v>800</v>
      </c>
      <c r="K22" t="s">
        <v>60</v>
      </c>
      <c r="L22" t="s">
        <v>58</v>
      </c>
    </row>
    <row r="23" spans="1:12" x14ac:dyDescent="0.25">
      <c r="A23" t="s">
        <v>24</v>
      </c>
      <c r="B23" s="1">
        <v>46058</v>
      </c>
      <c r="C23" t="s">
        <v>39</v>
      </c>
      <c r="D23" t="s">
        <v>36</v>
      </c>
      <c r="E23" t="s">
        <v>46</v>
      </c>
      <c r="F23">
        <v>6</v>
      </c>
      <c r="G23">
        <v>550</v>
      </c>
      <c r="H23">
        <f t="shared" si="0"/>
        <v>3300</v>
      </c>
      <c r="I23">
        <v>1500</v>
      </c>
      <c r="J23">
        <f t="shared" si="1"/>
        <v>1800</v>
      </c>
      <c r="K23" t="s">
        <v>60</v>
      </c>
      <c r="L23" t="s">
        <v>59</v>
      </c>
    </row>
    <row r="24" spans="1:12" x14ac:dyDescent="0.25">
      <c r="A24" t="s">
        <v>25</v>
      </c>
      <c r="B24" s="1">
        <v>46059</v>
      </c>
      <c r="C24" t="s">
        <v>31</v>
      </c>
      <c r="D24" t="s">
        <v>38</v>
      </c>
      <c r="E24" t="s">
        <v>47</v>
      </c>
      <c r="F24">
        <v>5</v>
      </c>
      <c r="G24">
        <v>620</v>
      </c>
      <c r="H24">
        <f t="shared" si="0"/>
        <v>3100</v>
      </c>
      <c r="I24">
        <v>2500</v>
      </c>
      <c r="J24">
        <f t="shared" si="1"/>
        <v>600</v>
      </c>
      <c r="K24" t="s">
        <v>61</v>
      </c>
      <c r="L24" t="s">
        <v>58</v>
      </c>
    </row>
    <row r="25" spans="1:12" x14ac:dyDescent="0.25">
      <c r="A25" t="s">
        <v>26</v>
      </c>
      <c r="B25" s="1">
        <v>46060</v>
      </c>
      <c r="C25" t="s">
        <v>40</v>
      </c>
      <c r="D25" t="s">
        <v>38</v>
      </c>
      <c r="E25" t="s">
        <v>43</v>
      </c>
      <c r="F25">
        <v>4</v>
      </c>
      <c r="G25">
        <v>710</v>
      </c>
      <c r="H25">
        <v>4000</v>
      </c>
      <c r="I25">
        <v>3000</v>
      </c>
      <c r="J25">
        <f t="shared" si="1"/>
        <v>1000</v>
      </c>
      <c r="K25" t="s">
        <v>57</v>
      </c>
      <c r="L25" t="s">
        <v>58</v>
      </c>
    </row>
    <row r="26" spans="1:12" x14ac:dyDescent="0.25">
      <c r="A26" t="s">
        <v>27</v>
      </c>
      <c r="B26" s="1">
        <v>46061</v>
      </c>
      <c r="C26" t="s">
        <v>28</v>
      </c>
      <c r="D26" t="s">
        <v>36</v>
      </c>
      <c r="E26" t="s">
        <v>42</v>
      </c>
      <c r="F26">
        <v>3</v>
      </c>
      <c r="G26">
        <v>830</v>
      </c>
      <c r="H26">
        <f t="shared" si="0"/>
        <v>2490</v>
      </c>
      <c r="I26">
        <v>2000</v>
      </c>
      <c r="J26">
        <f t="shared" si="1"/>
        <v>490</v>
      </c>
      <c r="K26" t="s">
        <v>57</v>
      </c>
      <c r="L26" t="s">
        <v>59</v>
      </c>
    </row>
  </sheetData>
  <phoneticPr fontId="2"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A335-C00A-4B0E-A31F-A026EC80D60D}">
  <dimension ref="A3:B14"/>
  <sheetViews>
    <sheetView workbookViewId="0">
      <selection activeCell="H26" sqref="H26"/>
    </sheetView>
  </sheetViews>
  <sheetFormatPr defaultRowHeight="15" x14ac:dyDescent="0.25"/>
  <cols>
    <col min="1" max="1" width="13.140625" bestFit="1" customWidth="1"/>
    <col min="2" max="2" width="12.140625" bestFit="1" customWidth="1"/>
  </cols>
  <sheetData>
    <row r="3" spans="1:2" x14ac:dyDescent="0.25">
      <c r="A3" s="2" t="s">
        <v>62</v>
      </c>
      <c r="B3" t="s">
        <v>64</v>
      </c>
    </row>
    <row r="4" spans="1:2" x14ac:dyDescent="0.25">
      <c r="A4" s="3" t="s">
        <v>34</v>
      </c>
      <c r="B4" s="4">
        <v>19800</v>
      </c>
    </row>
    <row r="5" spans="1:2" x14ac:dyDescent="0.25">
      <c r="A5" s="3" t="s">
        <v>33</v>
      </c>
      <c r="B5" s="4">
        <v>22400</v>
      </c>
    </row>
    <row r="6" spans="1:2" x14ac:dyDescent="0.25">
      <c r="A6" s="3" t="s">
        <v>29</v>
      </c>
      <c r="B6" s="4">
        <v>66100</v>
      </c>
    </row>
    <row r="7" spans="1:2" x14ac:dyDescent="0.25">
      <c r="A7" s="3" t="s">
        <v>31</v>
      </c>
      <c r="B7" s="4">
        <v>17620</v>
      </c>
    </row>
    <row r="8" spans="1:2" x14ac:dyDescent="0.25">
      <c r="A8" s="3" t="s">
        <v>30</v>
      </c>
      <c r="B8" s="4">
        <v>13300</v>
      </c>
    </row>
    <row r="9" spans="1:2" x14ac:dyDescent="0.25">
      <c r="A9" s="3" t="s">
        <v>32</v>
      </c>
      <c r="B9" s="4">
        <v>10700</v>
      </c>
    </row>
    <row r="10" spans="1:2" x14ac:dyDescent="0.25">
      <c r="A10" s="3" t="s">
        <v>39</v>
      </c>
      <c r="B10" s="4">
        <v>14100</v>
      </c>
    </row>
    <row r="11" spans="1:2" x14ac:dyDescent="0.25">
      <c r="A11" s="3" t="s">
        <v>28</v>
      </c>
      <c r="B11" s="4">
        <v>102690</v>
      </c>
    </row>
    <row r="12" spans="1:2" x14ac:dyDescent="0.25">
      <c r="A12" s="3" t="s">
        <v>40</v>
      </c>
      <c r="B12" s="4">
        <v>17000</v>
      </c>
    </row>
    <row r="13" spans="1:2" x14ac:dyDescent="0.25">
      <c r="A13" s="3" t="s">
        <v>35</v>
      </c>
      <c r="B13" s="4">
        <v>15000</v>
      </c>
    </row>
    <row r="14" spans="1:2" x14ac:dyDescent="0.25">
      <c r="A14" s="3" t="s">
        <v>63</v>
      </c>
      <c r="B14" s="4">
        <v>298710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Sheet5</vt:lpstr>
      <vt:lpstr>Sheet7</vt:lpstr>
      <vt:lpstr>Dashboard</vt:lpstr>
      <vt:lpstr>Sheet1</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2026-09-06T11:58:27Z</dcterms:created>
  <dcterms:modified xsi:type="dcterms:W3CDTF">2026-09-06T15:07:42Z</dcterms:modified>
</cp:coreProperties>
</file>